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jango\PFSPoc\data\"/>
    </mc:Choice>
  </mc:AlternateContent>
  <xr:revisionPtr revIDLastSave="0" documentId="8_{57261F44-23C9-4504-9B4D-D573A394CA3C}" xr6:coauthVersionLast="47" xr6:coauthVersionMax="47" xr10:uidLastSave="{00000000-0000-0000-0000-000000000000}"/>
  <bookViews>
    <workbookView xWindow="28680" yWindow="-120" windowWidth="29040" windowHeight="15720" xr2:uid="{BDF9FBE4-B7D5-447F-B353-08BB1542C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67" i="1" l="1"/>
  <c r="W167" i="1"/>
  <c r="V167" i="1"/>
  <c r="U167" i="1"/>
  <c r="T167" i="1"/>
  <c r="S167" i="1"/>
  <c r="R167" i="1"/>
  <c r="Q167" i="1"/>
  <c r="P167" i="1"/>
  <c r="P167" i="1" a="1"/>
  <c r="O167" i="1"/>
  <c r="N167" i="1"/>
  <c r="M167" i="1"/>
  <c r="L167" i="1"/>
  <c r="K167" i="1"/>
  <c r="J167" i="1"/>
  <c r="I167" i="1"/>
  <c r="H167" i="1"/>
  <c r="G167" i="1"/>
  <c r="F167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K146" i="1"/>
  <c r="J146" i="1"/>
  <c r="I146" i="1"/>
  <c r="H146" i="1"/>
  <c r="G146" i="1"/>
  <c r="F146" i="1"/>
  <c r="P139" i="1"/>
  <c r="O139" i="1"/>
  <c r="N139" i="1"/>
  <c r="M139" i="1"/>
  <c r="L139" i="1" a="1"/>
  <c r="L139" i="1" s="1"/>
  <c r="K139" i="1"/>
  <c r="J139" i="1"/>
  <c r="I139" i="1"/>
  <c r="H139" i="1"/>
  <c r="G139" i="1"/>
  <c r="F139" i="1"/>
  <c r="R132" i="1" a="1"/>
  <c r="R132" i="1" s="1"/>
  <c r="Q132" i="1"/>
  <c r="P132" i="1"/>
  <c r="O132" i="1"/>
  <c r="N132" i="1"/>
  <c r="M132" i="1"/>
  <c r="L132" i="1"/>
  <c r="K132" i="1"/>
  <c r="J132" i="1"/>
  <c r="I132" i="1"/>
  <c r="H132" i="1"/>
  <c r="G132" i="1"/>
  <c r="F132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R118" i="1"/>
  <c r="Q118" i="1"/>
  <c r="P118" i="1" a="1"/>
  <c r="P118" i="1" s="1"/>
  <c r="O118" i="1"/>
  <c r="N118" i="1"/>
  <c r="M118" i="1"/>
  <c r="L118" i="1"/>
  <c r="K118" i="1"/>
  <c r="J118" i="1"/>
  <c r="I118" i="1"/>
  <c r="H118" i="1"/>
  <c r="G118" i="1"/>
  <c r="F118" i="1"/>
  <c r="P111" i="1"/>
  <c r="O111" i="1"/>
  <c r="N111" i="1"/>
  <c r="M111" i="1"/>
  <c r="L111" i="1"/>
  <c r="K111" i="1"/>
  <c r="J111" i="1"/>
  <c r="I111" i="1"/>
  <c r="H111" i="1"/>
  <c r="G111" i="1"/>
  <c r="F111" i="1"/>
  <c r="J104" i="1"/>
  <c r="I104" i="1"/>
  <c r="H104" i="1"/>
  <c r="G104" i="1"/>
  <c r="F104" i="1"/>
  <c r="L97" i="1"/>
  <c r="K97" i="1"/>
  <c r="J97" i="1"/>
  <c r="I97" i="1"/>
  <c r="H97" i="1"/>
  <c r="G97" i="1"/>
  <c r="F97" i="1"/>
  <c r="L90" i="1"/>
  <c r="K90" i="1"/>
  <c r="J90" i="1"/>
  <c r="J90" i="1" a="1"/>
  <c r="I90" i="1"/>
  <c r="H90" i="1"/>
  <c r="G90" i="1"/>
  <c r="F90" i="1"/>
  <c r="P83" i="1" a="1"/>
  <c r="P83" i="1" s="1"/>
  <c r="O83" i="1"/>
  <c r="N83" i="1"/>
  <c r="M83" i="1"/>
  <c r="L83" i="1"/>
  <c r="K83" i="1"/>
  <c r="J83" i="1"/>
  <c r="I83" i="1"/>
  <c r="H83" i="1"/>
  <c r="G83" i="1"/>
  <c r="F83" i="1"/>
  <c r="Q76" i="1"/>
  <c r="P76" i="1"/>
  <c r="O76" i="1"/>
  <c r="N76" i="1"/>
  <c r="M76" i="1"/>
  <c r="L76" i="1"/>
  <c r="K76" i="1" a="1"/>
  <c r="K76" i="1" s="1"/>
  <c r="J76" i="1"/>
  <c r="I76" i="1"/>
  <c r="H76" i="1"/>
  <c r="G76" i="1"/>
  <c r="F76" i="1"/>
  <c r="P69" i="1"/>
  <c r="O69" i="1"/>
  <c r="N69" i="1"/>
  <c r="M69" i="1"/>
  <c r="L69" i="1"/>
  <c r="K69" i="1"/>
  <c r="J69" i="1"/>
  <c r="I69" i="1"/>
  <c r="H69" i="1"/>
  <c r="G69" i="1"/>
  <c r="F69" i="1"/>
  <c r="O62" i="1"/>
  <c r="N62" i="1"/>
  <c r="M62" i="1"/>
  <c r="L62" i="1"/>
  <c r="K62" i="1"/>
  <c r="J62" i="1"/>
  <c r="I62" i="1"/>
  <c r="H62" i="1"/>
  <c r="G62" i="1"/>
  <c r="F62" i="1"/>
  <c r="M55" i="1"/>
  <c r="L55" i="1"/>
  <c r="K55" i="1"/>
  <c r="J55" i="1"/>
  <c r="I55" i="1"/>
  <c r="H55" i="1"/>
  <c r="G55" i="1"/>
  <c r="F55" i="1"/>
  <c r="N48" i="1"/>
  <c r="M48" i="1"/>
  <c r="L48" i="1"/>
  <c r="K48" i="1"/>
  <c r="J48" i="1"/>
  <c r="I48" i="1"/>
  <c r="H48" i="1"/>
  <c r="G48" i="1"/>
  <c r="F48" i="1"/>
  <c r="I41" i="1"/>
  <c r="H41" i="1"/>
  <c r="G41" i="1"/>
  <c r="F41" i="1"/>
  <c r="M34" i="1"/>
  <c r="L34" i="1"/>
  <c r="K34" i="1"/>
  <c r="J34" i="1"/>
  <c r="I34" i="1"/>
  <c r="H34" i="1"/>
  <c r="G34" i="1"/>
  <c r="F34" i="1"/>
  <c r="M27" i="1"/>
  <c r="L27" i="1"/>
  <c r="K27" i="1"/>
  <c r="J27" i="1"/>
  <c r="I27" i="1"/>
  <c r="H27" i="1"/>
  <c r="G27" i="1"/>
  <c r="F27" i="1"/>
  <c r="M20" i="1"/>
  <c r="L20" i="1"/>
  <c r="K20" i="1"/>
  <c r="J20" i="1"/>
  <c r="I20" i="1" a="1"/>
  <c r="I20" i="1" s="1"/>
  <c r="H20" i="1"/>
  <c r="G20" i="1"/>
  <c r="F20" i="1"/>
  <c r="S13" i="1" a="1"/>
  <c r="S13" i="1" s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</calcChain>
</file>

<file path=xl/sharedStrings.xml><?xml version="1.0" encoding="utf-8"?>
<sst xmlns="http://schemas.openxmlformats.org/spreadsheetml/2006/main" count="1190" uniqueCount="214">
  <si>
    <t>Trade</t>
  </si>
  <si>
    <t>Lane</t>
  </si>
  <si>
    <t>Capacity</t>
  </si>
  <si>
    <t>Qty</t>
  </si>
  <si>
    <t xml:space="preserve">Calling Ports </t>
  </si>
  <si>
    <t>PS</t>
  </si>
  <si>
    <t>PS3</t>
  </si>
  <si>
    <t>INNSA</t>
  </si>
  <si>
    <t>INPAV</t>
  </si>
  <si>
    <t>SGSIN</t>
  </si>
  <si>
    <t>VNCMP</t>
  </si>
  <si>
    <t>CNYTN</t>
  </si>
  <si>
    <t>USLAX</t>
  </si>
  <si>
    <t>USOAK</t>
  </si>
  <si>
    <t>JPTYO</t>
  </si>
  <si>
    <t>KRPUS</t>
  </si>
  <si>
    <t>CNSHA</t>
  </si>
  <si>
    <t>CNNGB</t>
  </si>
  <si>
    <t>CNSHK</t>
  </si>
  <si>
    <t>MYPKG</t>
  </si>
  <si>
    <t>Terminal</t>
  </si>
  <si>
    <t>INNSA03</t>
  </si>
  <si>
    <t>INPAV01</t>
  </si>
  <si>
    <t>SGSIN04</t>
  </si>
  <si>
    <t>VNCMP04</t>
  </si>
  <si>
    <t>CNYTN01</t>
  </si>
  <si>
    <t>USLAX06</t>
  </si>
  <si>
    <t>USOAK08</t>
  </si>
  <si>
    <t>JPTYO02</t>
  </si>
  <si>
    <t>KRPUS18</t>
  </si>
  <si>
    <t>CNSHA07</t>
  </si>
  <si>
    <t>CNNGB01</t>
  </si>
  <si>
    <t>CNSHK03</t>
  </si>
  <si>
    <t>MYPKG02</t>
  </si>
  <si>
    <t>ETB</t>
  </si>
  <si>
    <t>SUN</t>
  </si>
  <si>
    <t>WED</t>
  </si>
  <si>
    <t>FRI</t>
  </si>
  <si>
    <t>MON</t>
  </si>
  <si>
    <t>TUE</t>
  </si>
  <si>
    <t>ETD</t>
  </si>
  <si>
    <t>THU</t>
  </si>
  <si>
    <t>SAT</t>
  </si>
  <si>
    <t>Duration</t>
  </si>
  <si>
    <t>PS4</t>
  </si>
  <si>
    <t>TWKHH</t>
  </si>
  <si>
    <t>TWKEL</t>
  </si>
  <si>
    <t>TWKHH16</t>
  </si>
  <si>
    <t>TWKEL04</t>
  </si>
  <si>
    <t>CNSHA19</t>
  </si>
  <si>
    <t>USLAX08</t>
  </si>
  <si>
    <t>PS6</t>
  </si>
  <si>
    <t>CNTAO</t>
  </si>
  <si>
    <t>KRKAN</t>
  </si>
  <si>
    <t>KRINC</t>
  </si>
  <si>
    <t>CNTAO10</t>
  </si>
  <si>
    <t>KRKAN02</t>
  </si>
  <si>
    <t>KRPUS12</t>
  </si>
  <si>
    <t>USLAX03</t>
  </si>
  <si>
    <t>USOAK01</t>
  </si>
  <si>
    <t>KRINC03</t>
  </si>
  <si>
    <t>PS7</t>
  </si>
  <si>
    <t>VNHPH</t>
  </si>
  <si>
    <t>CNXMN</t>
  </si>
  <si>
    <t>TWTPE</t>
  </si>
  <si>
    <t>VNHPH07</t>
  </si>
  <si>
    <t>CNSHK01</t>
  </si>
  <si>
    <t>CNXMN01</t>
  </si>
  <si>
    <t>TWTPE05</t>
  </si>
  <si>
    <t>USLAX01</t>
  </si>
  <si>
    <t>PS8</t>
  </si>
  <si>
    <t>PN</t>
  </si>
  <si>
    <t>PN1</t>
  </si>
  <si>
    <t>JPNGO</t>
  </si>
  <si>
    <t>USTIW</t>
  </si>
  <si>
    <t>CAVAN</t>
  </si>
  <si>
    <t>JPUKB</t>
  </si>
  <si>
    <t>TWKHH14</t>
  </si>
  <si>
    <t>JPNGO07</t>
  </si>
  <si>
    <t>JPTYO01</t>
  </si>
  <si>
    <t>USTIW02</t>
  </si>
  <si>
    <t>CAVAN01</t>
  </si>
  <si>
    <t>JPTYO03</t>
  </si>
  <si>
    <t>JPUKB03</t>
  </si>
  <si>
    <t>JPNGO01</t>
  </si>
  <si>
    <t>PN3</t>
  </si>
  <si>
    <t>JPUKB01</t>
  </si>
  <si>
    <t>EC1</t>
  </si>
  <si>
    <t>PAPCA</t>
  </si>
  <si>
    <t>USNYC</t>
  </si>
  <si>
    <t>USSAV</t>
  </si>
  <si>
    <t>USCHS</t>
  </si>
  <si>
    <t>PAROD</t>
  </si>
  <si>
    <t>PAPCA10</t>
  </si>
  <si>
    <t>USNYC01</t>
  </si>
  <si>
    <t>USSAV01</t>
  </si>
  <si>
    <t>USCHS01</t>
  </si>
  <si>
    <t>PAROD01</t>
  </si>
  <si>
    <t>EC</t>
  </si>
  <si>
    <t>EC2</t>
  </si>
  <si>
    <t>PAMIT</t>
  </si>
  <si>
    <t>USORF</t>
  </si>
  <si>
    <t>CAHAL</t>
  </si>
  <si>
    <t>KRPUS14</t>
  </si>
  <si>
    <t>PAMIT01</t>
  </si>
  <si>
    <t>USORF01</t>
  </si>
  <si>
    <t>CAHAL02</t>
  </si>
  <si>
    <t>EC3</t>
  </si>
  <si>
    <t>THLCH</t>
  </si>
  <si>
    <t>LKCMB</t>
  </si>
  <si>
    <t>USJAX</t>
  </si>
  <si>
    <t>THLCH13</t>
  </si>
  <si>
    <t>LKCMB05</t>
  </si>
  <si>
    <t>USJAX03</t>
  </si>
  <si>
    <t>EC4</t>
  </si>
  <si>
    <t>USHOU</t>
  </si>
  <si>
    <t>USMOB</t>
  </si>
  <si>
    <t>VNCMP08</t>
  </si>
  <si>
    <t>USHOU05</t>
  </si>
  <si>
    <t>USMOB01</t>
  </si>
  <si>
    <t>FE</t>
  </si>
  <si>
    <t>FE1</t>
  </si>
  <si>
    <t>NLRTM</t>
  </si>
  <si>
    <t>DEHAM</t>
  </si>
  <si>
    <t>FRLEH</t>
  </si>
  <si>
    <t>THLCH11</t>
  </si>
  <si>
    <t>NLRTM15</t>
  </si>
  <si>
    <t>DEHAM01</t>
  </si>
  <si>
    <t>FRLEH06</t>
  </si>
  <si>
    <t>FE3</t>
  </si>
  <si>
    <t>GBFXT</t>
  </si>
  <si>
    <t>BEANR</t>
  </si>
  <si>
    <t>CNTAO02</t>
  </si>
  <si>
    <t>CNNGB02</t>
  </si>
  <si>
    <t>GBFXT01</t>
  </si>
  <si>
    <t>BEANR01</t>
  </si>
  <si>
    <t>DEHAM02</t>
  </si>
  <si>
    <t>FE4</t>
  </si>
  <si>
    <t>FE5</t>
  </si>
  <si>
    <t>CNSHA12</t>
  </si>
  <si>
    <t>CNNGB03</t>
  </si>
  <si>
    <t>FRLEH03</t>
  </si>
  <si>
    <t>NLRTM01</t>
  </si>
  <si>
    <t>BEANR19</t>
  </si>
  <si>
    <t>FE6</t>
  </si>
  <si>
    <t>KRPUS17</t>
  </si>
  <si>
    <t>CNXMN06</t>
  </si>
  <si>
    <t>BEANR07</t>
  </si>
  <si>
    <t>CNSHK02</t>
  </si>
  <si>
    <t>MD</t>
  </si>
  <si>
    <t>MD1</t>
  </si>
  <si>
    <t>SAJED</t>
  </si>
  <si>
    <t>EGSCA</t>
  </si>
  <si>
    <t>EGDAM</t>
  </si>
  <si>
    <t>ESBCN</t>
  </si>
  <si>
    <t>ESVLC</t>
  </si>
  <si>
    <t>ITGOA</t>
  </si>
  <si>
    <t>HKHKG</t>
  </si>
  <si>
    <t>CNTAO01</t>
  </si>
  <si>
    <t>SAJED01</t>
  </si>
  <si>
    <t>ECSCA10</t>
  </si>
  <si>
    <t>EGDAM01</t>
  </si>
  <si>
    <t>ESBCN01</t>
  </si>
  <si>
    <t>ESVLC02</t>
  </si>
  <si>
    <t>ITGOA21</t>
  </si>
  <si>
    <t>EGSCA10</t>
  </si>
  <si>
    <t>HKHKG05</t>
  </si>
  <si>
    <t>MD2</t>
  </si>
  <si>
    <t>MATNG</t>
  </si>
  <si>
    <t>ITSPE</t>
  </si>
  <si>
    <t>FRFOS</t>
  </si>
  <si>
    <t>MATNG02</t>
  </si>
  <si>
    <t>ESVLC01</t>
  </si>
  <si>
    <t>ESBCN02</t>
  </si>
  <si>
    <t>ITGOA01</t>
  </si>
  <si>
    <t>ITSPE01</t>
  </si>
  <si>
    <t>FRFOS11</t>
  </si>
  <si>
    <t>MD3</t>
  </si>
  <si>
    <t>CNDLC</t>
  </si>
  <si>
    <t>CNTXG</t>
  </si>
  <si>
    <t>TRIZT</t>
  </si>
  <si>
    <t>TRIST</t>
  </si>
  <si>
    <t>TRMER</t>
  </si>
  <si>
    <t>CNDLC01</t>
  </si>
  <si>
    <t>CNTXG05</t>
  </si>
  <si>
    <t>KRPUS10</t>
  </si>
  <si>
    <t>TRIZT01</t>
  </si>
  <si>
    <t>TRIST02</t>
  </si>
  <si>
    <t>TRMER20</t>
  </si>
  <si>
    <t>CNXMN09</t>
  </si>
  <si>
    <t>MD4</t>
  </si>
  <si>
    <t>MD5</t>
  </si>
  <si>
    <t>ITGIT</t>
  </si>
  <si>
    <t>CNNSA</t>
  </si>
  <si>
    <t>ESVLC03</t>
  </si>
  <si>
    <t>FRFOS12</t>
  </si>
  <si>
    <t>ITGIT01</t>
  </si>
  <si>
    <t>CNNSA06</t>
  </si>
  <si>
    <t>PS-FE</t>
  </si>
  <si>
    <t>FP2</t>
  </si>
  <si>
    <t>GBSOU</t>
  </si>
  <si>
    <t>GBSOU01</t>
  </si>
  <si>
    <t>USTIW05</t>
  </si>
  <si>
    <t>CANVAN01</t>
  </si>
  <si>
    <t>PS-MD</t>
  </si>
  <si>
    <t>MS2</t>
  </si>
  <si>
    <t>ITPSE</t>
  </si>
  <si>
    <t>USLGB</t>
  </si>
  <si>
    <t>ITPSE01</t>
  </si>
  <si>
    <t>USLGB02</t>
  </si>
  <si>
    <t>Current Proforma Schedules</t>
  </si>
  <si>
    <r>
      <rPr>
        <sz val="9"/>
        <color theme="1"/>
        <rFont val="Segoe UI Symbol"/>
        <family val="2"/>
      </rPr>
      <t>■</t>
    </r>
  </si>
  <si>
    <t>Berth Window</t>
  </si>
  <si>
    <t>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</si>
</sst>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Verdana"/>
      <family val="2"/>
    </font>
    <font>
      <sz val="8"/>
      <name val="맑은 고딕"/>
      <family val="2"/>
      <charset val="129"/>
      <scheme val="minor"/>
    </font>
    <font>
      <sz val="10"/>
      <name val="Calibri"/>
      <family val="2"/>
    </font>
    <font>
      <sz val="9"/>
      <color theme="1"/>
      <name val="Verdana"/>
      <family val="2"/>
    </font>
    <font>
      <b/>
      <sz val="15"/>
      <color rgb="FFFFFFFF"/>
      <name val="Verdana"/>
      <family val="2"/>
    </font>
    <font>
      <sz val="9"/>
      <color theme="1"/>
      <name val="Segoe UI Symbol"/>
      <family val="2"/>
    </font>
    <font>
      <b/>
      <sz val="9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  <fill>
      <patternFill patternType="solid">
        <fgColor rgb="FF8EAADB"/>
        <bgColor rgb="FF8EAADB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2</xdr:row>
      <xdr:rowOff>114300</xdr:rowOff>
    </xdr:from>
    <xdr:ext cx="238125" cy="180975"/>
    <xdr:pic>
      <xdr:nvPicPr>
        <xdr:cNvPr id="2" name="image1.png" descr="확인 표시 단색으로 채워진">
          <a:extLst>
            <a:ext uri="{FF2B5EF4-FFF2-40B4-BE49-F238E27FC236}">
              <a16:creationId xmlns:a16="http://schemas.microsoft.com/office/drawing/2014/main" id="{89168A56-4F33-433A-9A30-8FA4D5AE83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29990" y="381000"/>
          <a:ext cx="238125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257175</xdr:colOff>
      <xdr:row>2</xdr:row>
      <xdr:rowOff>104775</xdr:rowOff>
    </xdr:from>
    <xdr:ext cx="228600" cy="180975"/>
    <xdr:pic>
      <xdr:nvPicPr>
        <xdr:cNvPr id="3" name="image1.png" descr="확인 표시 단색으로 채워진">
          <a:extLst>
            <a:ext uri="{FF2B5EF4-FFF2-40B4-BE49-F238E27FC236}">
              <a16:creationId xmlns:a16="http://schemas.microsoft.com/office/drawing/2014/main" id="{5BFA4B7F-11EC-4839-8302-6E6E7539AA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79745" y="369570"/>
          <a:ext cx="22860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2</xdr:row>
      <xdr:rowOff>104775</xdr:rowOff>
    </xdr:from>
    <xdr:ext cx="238125" cy="180975"/>
    <xdr:pic>
      <xdr:nvPicPr>
        <xdr:cNvPr id="4" name="image1.png" descr="확인 표시 단색으로 채워진">
          <a:extLst>
            <a:ext uri="{FF2B5EF4-FFF2-40B4-BE49-F238E27FC236}">
              <a16:creationId xmlns:a16="http://schemas.microsoft.com/office/drawing/2014/main" id="{E5147151-08FF-46E9-A433-17B7D8DEAA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14750" y="369570"/>
          <a:ext cx="238125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257175</xdr:colOff>
      <xdr:row>2</xdr:row>
      <xdr:rowOff>85725</xdr:rowOff>
    </xdr:from>
    <xdr:ext cx="228600" cy="180975"/>
    <xdr:pic>
      <xdr:nvPicPr>
        <xdr:cNvPr id="5" name="image1.png" descr="확인 표시 단색으로 채워진">
          <a:extLst>
            <a:ext uri="{FF2B5EF4-FFF2-40B4-BE49-F238E27FC236}">
              <a16:creationId xmlns:a16="http://schemas.microsoft.com/office/drawing/2014/main" id="{DB687C41-DED9-478B-8FED-BCA9867270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79745" y="354330"/>
          <a:ext cx="228600" cy="180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60826-8BF7-493C-87EE-64C6704451F1}">
  <dimension ref="A1:Z1000"/>
  <sheetViews>
    <sheetView tabSelected="1" workbookViewId="0">
      <selection activeCell="F11" sqref="F11"/>
    </sheetView>
  </sheetViews>
  <sheetFormatPr defaultColWidth="13" defaultRowHeight="15" customHeight="1" x14ac:dyDescent="0.4"/>
  <cols>
    <col min="1" max="1" width="6.69921875" customWidth="1"/>
    <col min="2" max="2" width="4.3984375" customWidth="1"/>
    <col min="3" max="3" width="7.296875" customWidth="1"/>
    <col min="4" max="4" width="3.69921875" customWidth="1"/>
    <col min="5" max="5" width="7.796875" customWidth="1"/>
    <col min="6" max="6" width="8.19921875" customWidth="1"/>
    <col min="7" max="7" width="7.59765625" customWidth="1"/>
    <col min="8" max="8" width="7.296875" customWidth="1"/>
    <col min="9" max="9" width="9.296875" customWidth="1"/>
    <col min="10" max="10" width="7.59765625" customWidth="1"/>
    <col min="11" max="11" width="7.09765625" customWidth="1"/>
    <col min="12" max="12" width="6.69921875" customWidth="1"/>
    <col min="13" max="16" width="7.296875" customWidth="1"/>
    <col min="17" max="18" width="7.09765625" customWidth="1"/>
    <col min="19" max="19" width="8" customWidth="1"/>
    <col min="20" max="26" width="8.3984375" customWidth="1"/>
  </cols>
  <sheetData>
    <row r="1" spans="1:26" ht="11.25" customHeight="1" x14ac:dyDescent="0.4">
      <c r="A1" s="15" t="s">
        <v>210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7"/>
      <c r="Z1" s="17"/>
    </row>
    <row r="2" spans="1:26" ht="11.25" customHeight="1" x14ac:dyDescent="0.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1.25" customHeight="1" x14ac:dyDescent="0.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1.25" customHeight="1" x14ac:dyDescent="0.4">
      <c r="A4" s="17"/>
      <c r="B4" s="17"/>
      <c r="C4" s="17"/>
      <c r="D4" s="17"/>
      <c r="E4" s="17"/>
      <c r="F4" s="17"/>
      <c r="G4" s="18" t="s">
        <v>20</v>
      </c>
      <c r="H4" s="18" t="s">
        <v>211</v>
      </c>
      <c r="I4" s="19" t="s">
        <v>212</v>
      </c>
      <c r="J4" s="20"/>
      <c r="K4" s="20" t="s">
        <v>211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21" t="s">
        <v>213</v>
      </c>
      <c r="Y4" s="17"/>
      <c r="Z4" s="17"/>
    </row>
    <row r="5" spans="1:26" ht="11.25" customHeight="1" x14ac:dyDescent="0.4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1.25" customHeight="1" thickBot="1" x14ac:dyDescent="0.45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  <c r="Y6" s="17"/>
      <c r="Z6" s="17"/>
    </row>
    <row r="7" spans="1:26" ht="11.25" customHeight="1" x14ac:dyDescent="0.4">
      <c r="A7" s="5" t="s">
        <v>5</v>
      </c>
      <c r="B7" s="5" t="s">
        <v>6</v>
      </c>
      <c r="C7" s="6">
        <v>15000</v>
      </c>
      <c r="D7" s="6">
        <v>8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K7" s="6" t="s">
        <v>13</v>
      </c>
      <c r="L7" s="6" t="s">
        <v>14</v>
      </c>
      <c r="M7" s="6" t="s">
        <v>15</v>
      </c>
      <c r="N7" s="6" t="s">
        <v>16</v>
      </c>
      <c r="O7" s="6" t="s">
        <v>17</v>
      </c>
      <c r="P7" s="6" t="s">
        <v>18</v>
      </c>
      <c r="Q7" s="6" t="s">
        <v>9</v>
      </c>
      <c r="R7" s="6" t="s">
        <v>19</v>
      </c>
      <c r="S7" s="6" t="s">
        <v>7</v>
      </c>
      <c r="T7" s="6"/>
      <c r="U7" s="6"/>
      <c r="V7" s="6"/>
      <c r="W7" s="6"/>
      <c r="X7" s="6"/>
      <c r="Y7" s="17"/>
      <c r="Z7" s="17"/>
    </row>
    <row r="8" spans="1:26" ht="11.25" customHeight="1" x14ac:dyDescent="0.4">
      <c r="A8" s="7"/>
      <c r="B8" s="7"/>
      <c r="C8" s="8" t="s">
        <v>20</v>
      </c>
      <c r="D8" s="8"/>
      <c r="E8" s="8" t="s">
        <v>21</v>
      </c>
      <c r="F8" s="8" t="s">
        <v>22</v>
      </c>
      <c r="G8" s="8" t="s">
        <v>23</v>
      </c>
      <c r="H8" s="8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8" t="s">
        <v>32</v>
      </c>
      <c r="Q8" s="8" t="s">
        <v>23</v>
      </c>
      <c r="R8" s="8" t="s">
        <v>33</v>
      </c>
      <c r="S8" s="8" t="s">
        <v>21</v>
      </c>
      <c r="T8" s="8"/>
      <c r="U8" s="8"/>
      <c r="V8" s="8"/>
      <c r="W8" s="8"/>
      <c r="X8" s="8"/>
      <c r="Y8" s="17"/>
      <c r="Z8" s="17"/>
    </row>
    <row r="9" spans="1:26" ht="11.25" customHeight="1" x14ac:dyDescent="0.4">
      <c r="A9" s="7"/>
      <c r="B9" s="7"/>
      <c r="C9" s="9" t="s">
        <v>34</v>
      </c>
      <c r="D9" s="9"/>
      <c r="E9" s="8" t="s">
        <v>35</v>
      </c>
      <c r="F9" s="8" t="s">
        <v>36</v>
      </c>
      <c r="G9" s="8" t="s">
        <v>37</v>
      </c>
      <c r="H9" s="8" t="s">
        <v>38</v>
      </c>
      <c r="I9" s="8" t="s">
        <v>37</v>
      </c>
      <c r="J9" s="8" t="s">
        <v>39</v>
      </c>
      <c r="K9" s="8" t="s">
        <v>35</v>
      </c>
      <c r="L9" s="8" t="s">
        <v>38</v>
      </c>
      <c r="M9" s="8" t="s">
        <v>37</v>
      </c>
      <c r="N9" s="8" t="s">
        <v>35</v>
      </c>
      <c r="O9" s="8" t="s">
        <v>36</v>
      </c>
      <c r="P9" s="8" t="s">
        <v>35</v>
      </c>
      <c r="Q9" s="8" t="s">
        <v>37</v>
      </c>
      <c r="R9" s="8" t="s">
        <v>35</v>
      </c>
      <c r="S9" s="8" t="s">
        <v>35</v>
      </c>
      <c r="T9" s="8"/>
      <c r="U9" s="8"/>
      <c r="V9" s="8"/>
      <c r="W9" s="8"/>
      <c r="X9" s="8"/>
      <c r="Y9" s="17"/>
      <c r="Z9" s="17"/>
    </row>
    <row r="10" spans="1:26" ht="11.25" customHeight="1" x14ac:dyDescent="0.4">
      <c r="A10" s="7"/>
      <c r="B10" s="7"/>
      <c r="C10" s="10"/>
      <c r="D10" s="10"/>
      <c r="E10" s="11">
        <v>0.70833333333333337</v>
      </c>
      <c r="F10" s="11">
        <v>0.41666666666666669</v>
      </c>
      <c r="G10" s="11">
        <v>8.3333333333333329E-2</v>
      </c>
      <c r="H10" s="11">
        <v>0.79166666666666663</v>
      </c>
      <c r="I10" s="11">
        <v>0.83333333333333337</v>
      </c>
      <c r="J10" s="11">
        <v>0.29166666666666669</v>
      </c>
      <c r="K10" s="11">
        <v>0.70833333333333337</v>
      </c>
      <c r="L10" s="11">
        <v>0.54166666666666663</v>
      </c>
      <c r="M10" s="11">
        <v>0.27083333333333331</v>
      </c>
      <c r="N10" s="11">
        <v>0.97916666666666663</v>
      </c>
      <c r="O10" s="11">
        <v>0.89583333333333337</v>
      </c>
      <c r="P10" s="11">
        <v>0.85416666666666663</v>
      </c>
      <c r="Q10" s="11">
        <v>0.6875</v>
      </c>
      <c r="R10" s="11">
        <v>0.5625</v>
      </c>
      <c r="S10" s="11">
        <v>0.70833333333333337</v>
      </c>
      <c r="T10" s="8"/>
      <c r="U10" s="8"/>
      <c r="V10" s="8"/>
      <c r="W10" s="8"/>
      <c r="X10" s="8"/>
      <c r="Y10" s="17"/>
      <c r="Z10" s="17"/>
    </row>
    <row r="11" spans="1:26" ht="11.25" customHeight="1" x14ac:dyDescent="0.4">
      <c r="A11" s="7"/>
      <c r="B11" s="7"/>
      <c r="C11" s="9" t="s">
        <v>40</v>
      </c>
      <c r="D11" s="9"/>
      <c r="E11" s="8" t="s">
        <v>39</v>
      </c>
      <c r="F11" s="8" t="s">
        <v>41</v>
      </c>
      <c r="G11" s="8" t="s">
        <v>42</v>
      </c>
      <c r="H11" s="8" t="s">
        <v>39</v>
      </c>
      <c r="I11" s="8" t="s">
        <v>35</v>
      </c>
      <c r="J11" s="8" t="s">
        <v>37</v>
      </c>
      <c r="K11" s="8" t="s">
        <v>39</v>
      </c>
      <c r="L11" s="8" t="s">
        <v>39</v>
      </c>
      <c r="M11" s="8" t="s">
        <v>42</v>
      </c>
      <c r="N11" s="8" t="s">
        <v>39</v>
      </c>
      <c r="O11" s="8" t="s">
        <v>37</v>
      </c>
      <c r="P11" s="8" t="s">
        <v>38</v>
      </c>
      <c r="Q11" s="8" t="s">
        <v>42</v>
      </c>
      <c r="R11" s="8" t="s">
        <v>35</v>
      </c>
      <c r="S11" s="8"/>
      <c r="T11" s="8"/>
      <c r="U11" s="8"/>
      <c r="V11" s="8"/>
      <c r="W11" s="8"/>
      <c r="X11" s="8"/>
      <c r="Y11" s="17"/>
      <c r="Z11" s="17"/>
    </row>
    <row r="12" spans="1:26" ht="11.25" customHeight="1" x14ac:dyDescent="0.4">
      <c r="A12" s="7"/>
      <c r="B12" s="7"/>
      <c r="C12" s="10"/>
      <c r="D12" s="10"/>
      <c r="E12" s="11">
        <v>0.375</v>
      </c>
      <c r="F12" s="11">
        <v>0.25</v>
      </c>
      <c r="G12" s="11">
        <v>0.625</v>
      </c>
      <c r="H12" s="11">
        <v>0.91666666666666663</v>
      </c>
      <c r="I12" s="11">
        <v>8.3333333333333329E-2</v>
      </c>
      <c r="J12" s="11">
        <v>0.91666666666666663</v>
      </c>
      <c r="K12" s="11">
        <v>0.5</v>
      </c>
      <c r="L12" s="11">
        <v>0.22916666666666666</v>
      </c>
      <c r="M12" s="11">
        <v>0.39583333333333331</v>
      </c>
      <c r="N12" s="11">
        <v>0.5625</v>
      </c>
      <c r="O12" s="11">
        <v>0.14583333333333334</v>
      </c>
      <c r="P12" s="11">
        <v>0.6875</v>
      </c>
      <c r="Q12" s="11">
        <v>0.52083333333333337</v>
      </c>
      <c r="R12" s="11">
        <v>0.85416666666666663</v>
      </c>
      <c r="S12" s="8"/>
      <c r="T12" s="8"/>
      <c r="U12" s="8"/>
      <c r="V12" s="8"/>
      <c r="W12" s="8"/>
      <c r="X12" s="8"/>
      <c r="Y12" s="17"/>
      <c r="Z12" s="17"/>
    </row>
    <row r="13" spans="1:26" ht="11.25" customHeight="1" thickBot="1" x14ac:dyDescent="0.45">
      <c r="A13" s="12"/>
      <c r="B13" s="12"/>
      <c r="C13" s="13" t="s">
        <v>43</v>
      </c>
      <c r="D13" s="13"/>
      <c r="E13" s="13"/>
      <c r="F13" s="14">
        <f t="shared" ref="F13:R13" si="0">((MATCH(F9,{"MON","TUE","WED","THU","FRI","SAT","SUN"},0)+F10+IF(MATCH(F9,{"MON","TUE","WED","THU","FRI","SAT","SUN"},0)&lt;MATCH(E11,{"MON","TUE","WED","THU","FRI","SAT","SUN"},0),7,0))-(MATCH(E11,{"MON","TUE","WED","THU","FRI","SAT","SUN"},0)+E12))</f>
        <v>1.0416666666666665</v>
      </c>
      <c r="G13" s="14">
        <f t="shared" si="0"/>
        <v>0.83333333333333304</v>
      </c>
      <c r="H13" s="14">
        <f t="shared" si="0"/>
        <v>2.1666666666666661</v>
      </c>
      <c r="I13" s="14">
        <f t="shared" si="0"/>
        <v>2.9166666666666665</v>
      </c>
      <c r="J13" s="14">
        <f t="shared" si="0"/>
        <v>2.208333333333333</v>
      </c>
      <c r="K13" s="14">
        <f t="shared" si="0"/>
        <v>1.7916666666666661</v>
      </c>
      <c r="L13" s="14">
        <f t="shared" si="0"/>
        <v>6.0416666666666661</v>
      </c>
      <c r="M13" s="14">
        <f t="shared" si="0"/>
        <v>3.0416666666666665</v>
      </c>
      <c r="N13" s="14">
        <f t="shared" si="0"/>
        <v>1.5833333333333339</v>
      </c>
      <c r="O13" s="14">
        <f t="shared" si="0"/>
        <v>1.3333333333333335</v>
      </c>
      <c r="P13" s="14">
        <f t="shared" si="0"/>
        <v>2.7083333333333339</v>
      </c>
      <c r="Q13" s="14">
        <f t="shared" si="0"/>
        <v>4</v>
      </c>
      <c r="R13" s="14">
        <f t="shared" si="0"/>
        <v>1.041666666666667</v>
      </c>
      <c r="S13" s="14">
        <f t="array" ref="S13">((MATCH(S9,{"MON","TUE","WED","THU","FRI","SAT","SUN"},0)+S10+IF(MATCH(S9,{"MON","TUE","WED","THU","FRI","SAT","SUN"},0)&lt;MATCH(R11,{"MON","TUE","WED","THU","FRI","SAT","SUN"},0),7,0))-(MATCH(R11,{"MON","TUE","WED","THU","FRI","SAT","SUN"},0)+R12))+7</f>
        <v>6.8541666666666661</v>
      </c>
      <c r="T13" s="13"/>
      <c r="U13" s="13"/>
      <c r="V13" s="13"/>
      <c r="W13" s="13"/>
      <c r="X13" s="13"/>
      <c r="Y13" s="17"/>
      <c r="Z13" s="17"/>
    </row>
    <row r="14" spans="1:26" ht="11.25" customHeight="1" x14ac:dyDescent="0.4">
      <c r="A14" s="5" t="s">
        <v>5</v>
      </c>
      <c r="B14" s="7" t="s">
        <v>44</v>
      </c>
      <c r="C14" s="10">
        <v>15000</v>
      </c>
      <c r="D14" s="10">
        <v>7</v>
      </c>
      <c r="E14" s="10" t="s">
        <v>11</v>
      </c>
      <c r="F14" s="10" t="s">
        <v>45</v>
      </c>
      <c r="G14" s="10" t="s">
        <v>46</v>
      </c>
      <c r="H14" s="10" t="s">
        <v>16</v>
      </c>
      <c r="I14" s="10" t="s">
        <v>12</v>
      </c>
      <c r="J14" s="10" t="s">
        <v>13</v>
      </c>
      <c r="K14" s="10" t="s">
        <v>46</v>
      </c>
      <c r="L14" s="10" t="s">
        <v>45</v>
      </c>
      <c r="M14" s="10" t="s">
        <v>11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7"/>
      <c r="Z14" s="17"/>
    </row>
    <row r="15" spans="1:26" ht="11.25" customHeight="1" x14ac:dyDescent="0.4">
      <c r="A15" s="7"/>
      <c r="B15" s="7"/>
      <c r="C15" s="8" t="s">
        <v>20</v>
      </c>
      <c r="D15" s="8"/>
      <c r="E15" s="8" t="s">
        <v>25</v>
      </c>
      <c r="F15" s="8" t="s">
        <v>47</v>
      </c>
      <c r="G15" s="8" t="s">
        <v>48</v>
      </c>
      <c r="H15" s="8" t="s">
        <v>49</v>
      </c>
      <c r="I15" s="8" t="s">
        <v>50</v>
      </c>
      <c r="J15" s="8" t="s">
        <v>27</v>
      </c>
      <c r="K15" s="8" t="s">
        <v>48</v>
      </c>
      <c r="L15" s="8" t="s">
        <v>47</v>
      </c>
      <c r="M15" s="8" t="s">
        <v>25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7"/>
      <c r="Z15" s="17"/>
    </row>
    <row r="16" spans="1:26" ht="11.25" customHeight="1" x14ac:dyDescent="0.4">
      <c r="A16" s="7"/>
      <c r="B16" s="7"/>
      <c r="C16" s="9" t="s">
        <v>34</v>
      </c>
      <c r="D16" s="9"/>
      <c r="E16" s="8" t="s">
        <v>42</v>
      </c>
      <c r="F16" s="8" t="s">
        <v>38</v>
      </c>
      <c r="G16" s="8" t="s">
        <v>36</v>
      </c>
      <c r="H16" s="8" t="s">
        <v>42</v>
      </c>
      <c r="I16" s="8" t="s">
        <v>35</v>
      </c>
      <c r="J16" s="8" t="s">
        <v>42</v>
      </c>
      <c r="K16" s="8" t="s">
        <v>39</v>
      </c>
      <c r="L16" s="8" t="s">
        <v>41</v>
      </c>
      <c r="M16" s="8" t="s">
        <v>42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7"/>
      <c r="Z16" s="17"/>
    </row>
    <row r="17" spans="1:26" ht="11.25" customHeight="1" x14ac:dyDescent="0.4">
      <c r="A17" s="7"/>
      <c r="B17" s="7"/>
      <c r="C17" s="10"/>
      <c r="D17" s="10"/>
      <c r="E17" s="11">
        <v>0.5</v>
      </c>
      <c r="F17" s="11">
        <v>0.58333333333333337</v>
      </c>
      <c r="G17" s="11">
        <v>0.29166666666666669</v>
      </c>
      <c r="H17" s="11">
        <v>0.83333333333333337</v>
      </c>
      <c r="I17" s="11">
        <v>0.29166666666666669</v>
      </c>
      <c r="J17" s="11">
        <v>0.29166666666666669</v>
      </c>
      <c r="K17" s="11">
        <v>0.58333333333333337</v>
      </c>
      <c r="L17" s="11">
        <v>0.375</v>
      </c>
      <c r="M17" s="11">
        <v>0.5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7"/>
      <c r="Z17" s="17"/>
    </row>
    <row r="18" spans="1:26" ht="11.25" customHeight="1" x14ac:dyDescent="0.4">
      <c r="A18" s="7"/>
      <c r="B18" s="7"/>
      <c r="C18" s="9" t="s">
        <v>40</v>
      </c>
      <c r="D18" s="9"/>
      <c r="E18" s="8" t="s">
        <v>35</v>
      </c>
      <c r="F18" s="8" t="s">
        <v>39</v>
      </c>
      <c r="G18" s="8" t="s">
        <v>36</v>
      </c>
      <c r="H18" s="8" t="s">
        <v>35</v>
      </c>
      <c r="I18" s="8" t="s">
        <v>41</v>
      </c>
      <c r="J18" s="8" t="s">
        <v>38</v>
      </c>
      <c r="K18" s="8" t="s">
        <v>36</v>
      </c>
      <c r="L18" s="8" t="s">
        <v>37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7"/>
      <c r="Z18" s="17"/>
    </row>
    <row r="19" spans="1:26" ht="11.25" customHeight="1" x14ac:dyDescent="0.4">
      <c r="A19" s="7"/>
      <c r="B19" s="7"/>
      <c r="C19" s="10"/>
      <c r="D19" s="10"/>
      <c r="E19" s="11">
        <v>0.45833333333333331</v>
      </c>
      <c r="F19" s="11">
        <v>0.5</v>
      </c>
      <c r="G19" s="11">
        <v>0.875</v>
      </c>
      <c r="H19" s="11">
        <v>0.95833333333333337</v>
      </c>
      <c r="I19" s="11">
        <v>0.54166666666666663</v>
      </c>
      <c r="J19" s="11">
        <v>4.1666666666666664E-2</v>
      </c>
      <c r="K19" s="11">
        <v>0.29166666666666669</v>
      </c>
      <c r="L19" s="11">
        <v>0.41666666666666669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7"/>
      <c r="Z19" s="17"/>
    </row>
    <row r="20" spans="1:26" ht="11.25" customHeight="1" thickBot="1" x14ac:dyDescent="0.45">
      <c r="A20" s="7"/>
      <c r="B20" s="7"/>
      <c r="C20" s="13" t="s">
        <v>43</v>
      </c>
      <c r="D20" s="9"/>
      <c r="E20" s="9"/>
      <c r="F20" s="14">
        <f t="shared" ref="F20:H20" si="1">((MATCH(F16,{"MON","TUE","WED","THU","FRI","SAT","SUN"},0)+F17+IF(MATCH(F16,{"MON","TUE","WED","THU","FRI","SAT","SUN"},0)&lt;MATCH(E18,{"MON","TUE","WED","THU","FRI","SAT","SUN"},0),7,0))-(MATCH(E18,{"MON","TUE","WED","THU","FRI","SAT","SUN"},0)+E19))</f>
        <v>1.1250000000000009</v>
      </c>
      <c r="G20" s="14">
        <f t="shared" si="1"/>
        <v>0.79166666666666652</v>
      </c>
      <c r="H20" s="14">
        <f t="shared" si="1"/>
        <v>2.958333333333333</v>
      </c>
      <c r="I20" s="14">
        <f t="array" ref="I20">((MATCH(I16,{"MON","TUE","WED","THU","FRI","SAT","SUN"},0)+I17+IF(MATCH(I16,{"MON","TUE","WED","THU","FRI","SAT","SUN"},0)&lt;MATCH(H18,{"MON","TUE","WED","THU","FRI","SAT","SUN"},0),7,0))-(MATCH(H18,{"MON","TUE","WED","THU","FRI","SAT","SUN"},0)+H19))+7</f>
        <v>6.3333333333333339</v>
      </c>
      <c r="J20" s="14">
        <f t="shared" ref="J20:M20" si="2">((MATCH(J16,{"MON","TUE","WED","THU","FRI","SAT","SUN"},0)+J17+IF(MATCH(J16,{"MON","TUE","WED","THU","FRI","SAT","SUN"},0)&lt;MATCH(I18,{"MON","TUE","WED","THU","FRI","SAT","SUN"},0),7,0))-(MATCH(I18,{"MON","TUE","WED","THU","FRI","SAT","SUN"},0)+I19))</f>
        <v>1.75</v>
      </c>
      <c r="K20" s="14">
        <f t="shared" si="2"/>
        <v>1.5416666666666667</v>
      </c>
      <c r="L20" s="14">
        <f t="shared" si="2"/>
        <v>1.0833333333333335</v>
      </c>
      <c r="M20" s="14">
        <f t="shared" si="2"/>
        <v>1.083333333333333</v>
      </c>
      <c r="N20" s="14"/>
      <c r="O20" s="14"/>
      <c r="P20" s="14"/>
      <c r="Q20" s="14"/>
      <c r="R20" s="14"/>
      <c r="S20" s="14"/>
      <c r="T20" s="13"/>
      <c r="U20" s="13"/>
      <c r="V20" s="13"/>
      <c r="W20" s="13"/>
      <c r="X20" s="13"/>
      <c r="Y20" s="17"/>
      <c r="Z20" s="17"/>
    </row>
    <row r="21" spans="1:26" ht="11.25" customHeight="1" x14ac:dyDescent="0.4">
      <c r="A21" s="5" t="s">
        <v>5</v>
      </c>
      <c r="B21" s="5" t="s">
        <v>51</v>
      </c>
      <c r="C21" s="6">
        <v>13253</v>
      </c>
      <c r="D21" s="6">
        <v>8</v>
      </c>
      <c r="E21" s="6" t="s">
        <v>52</v>
      </c>
      <c r="F21" s="6" t="s">
        <v>16</v>
      </c>
      <c r="G21" s="6" t="s">
        <v>17</v>
      </c>
      <c r="H21" s="6" t="s">
        <v>53</v>
      </c>
      <c r="I21" s="6" t="s">
        <v>15</v>
      </c>
      <c r="J21" s="6" t="s">
        <v>12</v>
      </c>
      <c r="K21" s="6" t="s">
        <v>13</v>
      </c>
      <c r="L21" s="6" t="s">
        <v>15</v>
      </c>
      <c r="M21" s="6" t="s">
        <v>53</v>
      </c>
      <c r="N21" s="6" t="s">
        <v>54</v>
      </c>
      <c r="O21" s="6" t="s">
        <v>52</v>
      </c>
      <c r="P21" s="6"/>
      <c r="Q21" s="6"/>
      <c r="R21" s="6"/>
      <c r="S21" s="6"/>
      <c r="T21" s="6"/>
      <c r="U21" s="6"/>
      <c r="V21" s="6"/>
      <c r="W21" s="6"/>
      <c r="X21" s="6"/>
      <c r="Y21" s="17"/>
      <c r="Z21" s="17"/>
    </row>
    <row r="22" spans="1:26" ht="11.25" customHeight="1" x14ac:dyDescent="0.4">
      <c r="A22" s="7"/>
      <c r="B22" s="7"/>
      <c r="C22" s="8" t="s">
        <v>20</v>
      </c>
      <c r="D22" s="8"/>
      <c r="E22" s="8" t="s">
        <v>55</v>
      </c>
      <c r="F22" s="8" t="s">
        <v>49</v>
      </c>
      <c r="G22" s="8" t="s">
        <v>31</v>
      </c>
      <c r="H22" s="8" t="s">
        <v>56</v>
      </c>
      <c r="I22" s="8" t="s">
        <v>57</v>
      </c>
      <c r="J22" s="8" t="s">
        <v>58</v>
      </c>
      <c r="K22" s="8" t="s">
        <v>59</v>
      </c>
      <c r="L22" s="8" t="s">
        <v>57</v>
      </c>
      <c r="M22" s="8" t="s">
        <v>56</v>
      </c>
      <c r="N22" s="8" t="s">
        <v>60</v>
      </c>
      <c r="O22" s="8" t="s">
        <v>55</v>
      </c>
      <c r="P22" s="8"/>
      <c r="Q22" s="8"/>
      <c r="R22" s="8"/>
      <c r="S22" s="8"/>
      <c r="T22" s="8"/>
      <c r="U22" s="8"/>
      <c r="V22" s="8"/>
      <c r="W22" s="8"/>
      <c r="X22" s="8"/>
      <c r="Y22" s="17"/>
      <c r="Z22" s="17"/>
    </row>
    <row r="23" spans="1:26" ht="11.25" customHeight="1" x14ac:dyDescent="0.4">
      <c r="A23" s="7"/>
      <c r="B23" s="7"/>
      <c r="C23" s="9" t="s">
        <v>34</v>
      </c>
      <c r="D23" s="9"/>
      <c r="E23" s="8" t="s">
        <v>41</v>
      </c>
      <c r="F23" s="8" t="s">
        <v>35</v>
      </c>
      <c r="G23" s="8" t="s">
        <v>39</v>
      </c>
      <c r="H23" s="8" t="s">
        <v>37</v>
      </c>
      <c r="I23" s="8" t="s">
        <v>42</v>
      </c>
      <c r="J23" s="8" t="s">
        <v>42</v>
      </c>
      <c r="K23" s="8" t="s">
        <v>35</v>
      </c>
      <c r="L23" s="8" t="s">
        <v>37</v>
      </c>
      <c r="M23" s="8" t="s">
        <v>35</v>
      </c>
      <c r="N23" s="8" t="s">
        <v>39</v>
      </c>
      <c r="O23" s="8" t="s">
        <v>41</v>
      </c>
      <c r="P23" s="8"/>
      <c r="Q23" s="8"/>
      <c r="R23" s="8"/>
      <c r="S23" s="8"/>
      <c r="T23" s="8"/>
      <c r="U23" s="8"/>
      <c r="V23" s="8"/>
      <c r="W23" s="8"/>
      <c r="X23" s="8"/>
      <c r="Y23" s="17"/>
      <c r="Z23" s="17"/>
    </row>
    <row r="24" spans="1:26" ht="11.25" customHeight="1" x14ac:dyDescent="0.4">
      <c r="A24" s="7"/>
      <c r="B24" s="7"/>
      <c r="C24" s="10"/>
      <c r="D24" s="10"/>
      <c r="E24" s="11">
        <v>0.375</v>
      </c>
      <c r="F24" s="11">
        <v>0.58333333333333337</v>
      </c>
      <c r="G24" s="11">
        <v>0.58333333333333337</v>
      </c>
      <c r="H24" s="11">
        <v>0.58333333333333337</v>
      </c>
      <c r="I24" s="11">
        <v>0.5</v>
      </c>
      <c r="J24" s="11">
        <v>0.70833333333333337</v>
      </c>
      <c r="K24" s="11">
        <v>0.70833333333333337</v>
      </c>
      <c r="L24" s="11">
        <v>0.875</v>
      </c>
      <c r="M24" s="11">
        <v>0.16666666666666666</v>
      </c>
      <c r="N24" s="11">
        <v>0.45833333333333331</v>
      </c>
      <c r="O24" s="11">
        <v>0.375</v>
      </c>
      <c r="P24" s="8"/>
      <c r="Q24" s="8"/>
      <c r="R24" s="8"/>
      <c r="S24" s="8"/>
      <c r="T24" s="8"/>
      <c r="U24" s="8"/>
      <c r="V24" s="8"/>
      <c r="W24" s="8"/>
      <c r="X24" s="8"/>
      <c r="Y24" s="17"/>
      <c r="Z24" s="17"/>
    </row>
    <row r="25" spans="1:26" ht="11.25" customHeight="1" x14ac:dyDescent="0.4">
      <c r="A25" s="7"/>
      <c r="B25" s="7"/>
      <c r="C25" s="9" t="s">
        <v>40</v>
      </c>
      <c r="D25" s="9"/>
      <c r="E25" s="8" t="s">
        <v>37</v>
      </c>
      <c r="F25" s="8" t="s">
        <v>38</v>
      </c>
      <c r="G25" s="8" t="s">
        <v>36</v>
      </c>
      <c r="H25" s="8" t="s">
        <v>42</v>
      </c>
      <c r="I25" s="8" t="s">
        <v>38</v>
      </c>
      <c r="J25" s="8" t="s">
        <v>42</v>
      </c>
      <c r="K25" s="8" t="s">
        <v>39</v>
      </c>
      <c r="L25" s="8" t="s">
        <v>42</v>
      </c>
      <c r="M25" s="8" t="s">
        <v>38</v>
      </c>
      <c r="N25" s="8" t="s">
        <v>36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17"/>
      <c r="Z25" s="17"/>
    </row>
    <row r="26" spans="1:26" ht="11.25" customHeight="1" x14ac:dyDescent="0.4">
      <c r="A26" s="7"/>
      <c r="B26" s="7"/>
      <c r="C26" s="10"/>
      <c r="D26" s="10"/>
      <c r="E26" s="11">
        <v>0.20833333333333334</v>
      </c>
      <c r="F26" s="11">
        <v>0.45833333333333331</v>
      </c>
      <c r="G26" s="11">
        <v>0.58333333333333337</v>
      </c>
      <c r="H26" s="11">
        <v>4.1666666666666664E-2</v>
      </c>
      <c r="I26" s="11">
        <v>0.125</v>
      </c>
      <c r="J26" s="11">
        <v>8.3333333333333329E-2</v>
      </c>
      <c r="K26" s="11">
        <v>0.54166666666666663</v>
      </c>
      <c r="L26" s="11">
        <v>0.70833333333333337</v>
      </c>
      <c r="M26" s="11">
        <v>0.20833333333333334</v>
      </c>
      <c r="N26" s="11">
        <v>0.29166666666666669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17"/>
      <c r="Z26" s="17"/>
    </row>
    <row r="27" spans="1:26" ht="11.25" customHeight="1" thickBot="1" x14ac:dyDescent="0.45">
      <c r="A27" s="12"/>
      <c r="B27" s="12"/>
      <c r="C27" s="13" t="s">
        <v>43</v>
      </c>
      <c r="D27" s="13"/>
      <c r="E27" s="14"/>
      <c r="F27" s="14">
        <f t="shared" ref="F27:M27" si="3">((MATCH(F23,{"MON","TUE","WED","THU","FRI","SAT","SUN"},0)+F24+IF(MATCH(F23,{"MON","TUE","WED","THU","FRI","SAT","SUN"},0)&lt;MATCH(E25,{"MON","TUE","WED","THU","FRI","SAT","SUN"},0),7,0))-(MATCH(E25,{"MON","TUE","WED","THU","FRI","SAT","SUN"},0)+E26))</f>
        <v>2.375</v>
      </c>
      <c r="G27" s="14">
        <f t="shared" si="3"/>
        <v>1.1250000000000002</v>
      </c>
      <c r="H27" s="14">
        <f t="shared" si="3"/>
        <v>1.9999999999999996</v>
      </c>
      <c r="I27" s="14">
        <f t="shared" si="3"/>
        <v>0.45833333333333304</v>
      </c>
      <c r="J27" s="14">
        <f t="shared" si="3"/>
        <v>5.583333333333333</v>
      </c>
      <c r="K27" s="14">
        <f t="shared" si="3"/>
        <v>1.625</v>
      </c>
      <c r="L27" s="14">
        <f t="shared" si="3"/>
        <v>3.3333333333333335</v>
      </c>
      <c r="M27" s="14">
        <f t="shared" si="3"/>
        <v>0.45833333333333393</v>
      </c>
      <c r="N27" s="14"/>
      <c r="O27" s="14"/>
      <c r="P27" s="14"/>
      <c r="Q27" s="14"/>
      <c r="R27" s="14"/>
      <c r="S27" s="14"/>
      <c r="T27" s="13"/>
      <c r="U27" s="13"/>
      <c r="V27" s="13"/>
      <c r="W27" s="13"/>
      <c r="X27" s="13"/>
      <c r="Y27" s="17"/>
      <c r="Z27" s="17"/>
    </row>
    <row r="28" spans="1:26" ht="11.25" customHeight="1" x14ac:dyDescent="0.4">
      <c r="A28" s="5" t="s">
        <v>5</v>
      </c>
      <c r="B28" s="7" t="s">
        <v>61</v>
      </c>
      <c r="C28" s="10">
        <v>9000</v>
      </c>
      <c r="D28" s="10">
        <v>8</v>
      </c>
      <c r="E28" s="10" t="s">
        <v>62</v>
      </c>
      <c r="F28" s="10" t="s">
        <v>10</v>
      </c>
      <c r="G28" s="10" t="s">
        <v>18</v>
      </c>
      <c r="H28" s="10" t="s">
        <v>63</v>
      </c>
      <c r="I28" s="10" t="s">
        <v>64</v>
      </c>
      <c r="J28" s="10" t="s">
        <v>12</v>
      </c>
      <c r="K28" s="10" t="s">
        <v>13</v>
      </c>
      <c r="L28" s="10" t="s">
        <v>18</v>
      </c>
      <c r="M28" s="10" t="s">
        <v>62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7"/>
      <c r="Z28" s="17"/>
    </row>
    <row r="29" spans="1:26" ht="11.25" customHeight="1" x14ac:dyDescent="0.4">
      <c r="A29" s="7"/>
      <c r="B29" s="7"/>
      <c r="C29" s="8" t="s">
        <v>20</v>
      </c>
      <c r="D29" s="8"/>
      <c r="E29" s="8" t="s">
        <v>65</v>
      </c>
      <c r="F29" s="8" t="s">
        <v>24</v>
      </c>
      <c r="G29" s="8" t="s">
        <v>66</v>
      </c>
      <c r="H29" s="8" t="s">
        <v>67</v>
      </c>
      <c r="I29" s="8" t="s">
        <v>68</v>
      </c>
      <c r="J29" s="8" t="s">
        <v>69</v>
      </c>
      <c r="K29" s="8" t="s">
        <v>59</v>
      </c>
      <c r="L29" s="8" t="s">
        <v>66</v>
      </c>
      <c r="M29" s="8" t="s">
        <v>65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17"/>
      <c r="Z29" s="17"/>
    </row>
    <row r="30" spans="1:26" ht="11.25" customHeight="1" x14ac:dyDescent="0.4">
      <c r="A30" s="7"/>
      <c r="B30" s="7"/>
      <c r="C30" s="9" t="s">
        <v>34</v>
      </c>
      <c r="D30" s="9"/>
      <c r="E30" s="8" t="s">
        <v>36</v>
      </c>
      <c r="F30" s="8" t="s">
        <v>42</v>
      </c>
      <c r="G30" s="8" t="s">
        <v>36</v>
      </c>
      <c r="H30" s="8" t="s">
        <v>37</v>
      </c>
      <c r="I30" s="8" t="s">
        <v>35</v>
      </c>
      <c r="J30" s="8" t="s">
        <v>38</v>
      </c>
      <c r="K30" s="8" t="s">
        <v>35</v>
      </c>
      <c r="L30" s="8" t="s">
        <v>35</v>
      </c>
      <c r="M30" s="8" t="s">
        <v>36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7"/>
      <c r="Z30" s="17"/>
    </row>
    <row r="31" spans="1:26" ht="11.25" customHeight="1" x14ac:dyDescent="0.4">
      <c r="A31" s="7"/>
      <c r="B31" s="7"/>
      <c r="C31" s="10"/>
      <c r="D31" s="10"/>
      <c r="E31" s="11">
        <v>0.5</v>
      </c>
      <c r="F31" s="11">
        <v>0.5</v>
      </c>
      <c r="G31" s="11">
        <v>0.29166666666666669</v>
      </c>
      <c r="H31" s="11">
        <v>0.29166666666666669</v>
      </c>
      <c r="I31" s="8">
        <v>0</v>
      </c>
      <c r="J31" s="11">
        <v>0.33333333333333331</v>
      </c>
      <c r="K31" s="11">
        <v>0.75</v>
      </c>
      <c r="L31" s="11">
        <v>0.33333333333333331</v>
      </c>
      <c r="M31" s="11">
        <v>0.5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7"/>
      <c r="Z31" s="17"/>
    </row>
    <row r="32" spans="1:26" ht="11.25" customHeight="1" x14ac:dyDescent="0.4">
      <c r="A32" s="7"/>
      <c r="B32" s="7"/>
      <c r="C32" s="9" t="s">
        <v>40</v>
      </c>
      <c r="D32" s="9"/>
      <c r="E32" s="8" t="s">
        <v>41</v>
      </c>
      <c r="F32" s="8" t="s">
        <v>35</v>
      </c>
      <c r="G32" s="8" t="s">
        <v>41</v>
      </c>
      <c r="H32" s="8" t="s">
        <v>37</v>
      </c>
      <c r="I32" s="8" t="s">
        <v>35</v>
      </c>
      <c r="J32" s="8" t="s">
        <v>42</v>
      </c>
      <c r="K32" s="8" t="s">
        <v>36</v>
      </c>
      <c r="L32" s="8" t="s">
        <v>38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7"/>
      <c r="Z32" s="17"/>
    </row>
    <row r="33" spans="1:26" ht="11.25" customHeight="1" x14ac:dyDescent="0.4">
      <c r="A33" s="7"/>
      <c r="B33" s="7"/>
      <c r="C33" s="10"/>
      <c r="D33" s="10"/>
      <c r="E33" s="11">
        <v>0.125</v>
      </c>
      <c r="F33" s="11">
        <v>0.375</v>
      </c>
      <c r="G33" s="11">
        <v>4.1666666666666664E-2</v>
      </c>
      <c r="H33" s="11">
        <v>0.91666666666666663</v>
      </c>
      <c r="I33" s="11">
        <v>0.66666666666666663</v>
      </c>
      <c r="J33" s="11">
        <v>0.33333333333333331</v>
      </c>
      <c r="K33" s="11">
        <v>0.45833333333333331</v>
      </c>
      <c r="L33" s="11">
        <v>0.66666666666666663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7"/>
      <c r="Z33" s="17"/>
    </row>
    <row r="34" spans="1:26" ht="11.25" customHeight="1" thickBot="1" x14ac:dyDescent="0.45">
      <c r="A34" s="7"/>
      <c r="B34" s="7"/>
      <c r="C34" s="13" t="s">
        <v>43</v>
      </c>
      <c r="D34" s="9"/>
      <c r="E34" s="9"/>
      <c r="F34" s="14">
        <f t="shared" ref="F34:M34" si="4">((MATCH(F30,{"MON","TUE","WED","THU","FRI","SAT","SUN"},0)+F31+IF(MATCH(F30,{"MON","TUE","WED","THU","FRI","SAT","SUN"},0)&lt;MATCH(E32,{"MON","TUE","WED","THU","FRI","SAT","SUN"},0),7,0))-(MATCH(E32,{"MON","TUE","WED","THU","FRI","SAT","SUN"},0)+E33))</f>
        <v>2.375</v>
      </c>
      <c r="G34" s="14">
        <f t="shared" si="4"/>
        <v>2.9166666666666661</v>
      </c>
      <c r="H34" s="14">
        <f t="shared" si="4"/>
        <v>1.25</v>
      </c>
      <c r="I34" s="14">
        <f t="shared" si="4"/>
        <v>1.083333333333333</v>
      </c>
      <c r="J34" s="14">
        <f t="shared" si="4"/>
        <v>0.66666666666666696</v>
      </c>
      <c r="K34" s="14">
        <f t="shared" si="4"/>
        <v>1.416666666666667</v>
      </c>
      <c r="L34" s="14">
        <f t="shared" si="4"/>
        <v>3.8749999999999996</v>
      </c>
      <c r="M34" s="14">
        <f t="shared" si="4"/>
        <v>1.8333333333333335</v>
      </c>
      <c r="N34" s="14"/>
      <c r="O34" s="14"/>
      <c r="P34" s="14"/>
      <c r="Q34" s="14"/>
      <c r="R34" s="14"/>
      <c r="S34" s="14"/>
      <c r="T34" s="13"/>
      <c r="U34" s="13"/>
      <c r="V34" s="13"/>
      <c r="W34" s="13"/>
      <c r="X34" s="13"/>
      <c r="Y34" s="17"/>
      <c r="Z34" s="17"/>
    </row>
    <row r="35" spans="1:26" ht="11.25" customHeight="1" x14ac:dyDescent="0.4">
      <c r="A35" s="5" t="s">
        <v>5</v>
      </c>
      <c r="B35" s="5" t="s">
        <v>70</v>
      </c>
      <c r="C35" s="6">
        <v>7500</v>
      </c>
      <c r="D35" s="6">
        <v>6</v>
      </c>
      <c r="E35" s="6" t="s">
        <v>52</v>
      </c>
      <c r="F35" s="6" t="s">
        <v>17</v>
      </c>
      <c r="G35" s="6" t="s">
        <v>12</v>
      </c>
      <c r="H35" s="6" t="s">
        <v>13</v>
      </c>
      <c r="I35" s="6" t="s">
        <v>52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7"/>
      <c r="Z35" s="17"/>
    </row>
    <row r="36" spans="1:26" ht="11.25" customHeight="1" x14ac:dyDescent="0.4">
      <c r="A36" s="7"/>
      <c r="B36" s="7"/>
      <c r="C36" s="8" t="s">
        <v>20</v>
      </c>
      <c r="D36" s="8"/>
      <c r="E36" s="8" t="s">
        <v>55</v>
      </c>
      <c r="F36" s="8" t="s">
        <v>31</v>
      </c>
      <c r="G36" s="8" t="s">
        <v>69</v>
      </c>
      <c r="H36" s="8" t="s">
        <v>27</v>
      </c>
      <c r="I36" s="8" t="s">
        <v>55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7"/>
      <c r="Z36" s="17"/>
    </row>
    <row r="37" spans="1:26" ht="11.25" customHeight="1" x14ac:dyDescent="0.4">
      <c r="A37" s="7"/>
      <c r="B37" s="7"/>
      <c r="C37" s="9" t="s">
        <v>34</v>
      </c>
      <c r="D37" s="9"/>
      <c r="E37" s="8" t="s">
        <v>38</v>
      </c>
      <c r="F37" s="8" t="s">
        <v>41</v>
      </c>
      <c r="G37" s="8" t="s">
        <v>35</v>
      </c>
      <c r="H37" s="8" t="s">
        <v>42</v>
      </c>
      <c r="I37" s="8" t="s">
        <v>38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7"/>
      <c r="Z37" s="17"/>
    </row>
    <row r="38" spans="1:26" ht="11.25" customHeight="1" x14ac:dyDescent="0.4">
      <c r="A38" s="7"/>
      <c r="B38" s="7"/>
      <c r="C38" s="10"/>
      <c r="D38" s="10"/>
      <c r="E38" s="11">
        <v>0.91666666666666663</v>
      </c>
      <c r="F38" s="11">
        <v>0.91666666666666663</v>
      </c>
      <c r="G38" s="11">
        <v>0.70833333333333337</v>
      </c>
      <c r="H38" s="11">
        <v>0.33333333333333331</v>
      </c>
      <c r="I38" s="11">
        <v>0.91666666666666663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7"/>
      <c r="Z38" s="17"/>
    </row>
    <row r="39" spans="1:26" ht="11.25" customHeight="1" x14ac:dyDescent="0.4">
      <c r="A39" s="7"/>
      <c r="B39" s="7"/>
      <c r="C39" s="9" t="s">
        <v>40</v>
      </c>
      <c r="D39" s="9"/>
      <c r="E39" s="8" t="s">
        <v>36</v>
      </c>
      <c r="F39" s="8" t="s">
        <v>35</v>
      </c>
      <c r="G39" s="8" t="s">
        <v>36</v>
      </c>
      <c r="H39" s="8" t="s">
        <v>35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7"/>
      <c r="Z39" s="17"/>
    </row>
    <row r="40" spans="1:26" ht="11.25" customHeight="1" x14ac:dyDescent="0.4">
      <c r="A40" s="7"/>
      <c r="B40" s="7"/>
      <c r="C40" s="10"/>
      <c r="D40" s="10"/>
      <c r="E40" s="11">
        <v>0.5</v>
      </c>
      <c r="F40" s="11">
        <v>0.5</v>
      </c>
      <c r="G40" s="11">
        <v>0.95833333333333337</v>
      </c>
      <c r="H40" s="11">
        <v>0.375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7"/>
      <c r="Z40" s="17"/>
    </row>
    <row r="41" spans="1:26" ht="11.25" customHeight="1" thickBot="1" x14ac:dyDescent="0.45">
      <c r="A41" s="12"/>
      <c r="B41" s="12"/>
      <c r="C41" s="13" t="s">
        <v>43</v>
      </c>
      <c r="D41" s="13"/>
      <c r="E41" s="13"/>
      <c r="F41" s="14">
        <f t="shared" ref="F41:I41" si="5">((MATCH(F37,{"MON","TUE","WED","THU","FRI","SAT","SUN"},0)+F38+IF(MATCH(F37,{"MON","TUE","WED","THU","FRI","SAT","SUN"},0)&lt;MATCH(E39,{"MON","TUE","WED","THU","FRI","SAT","SUN"},0),7,0))-(MATCH(E39,{"MON","TUE","WED","THU","FRI","SAT","SUN"},0)+E40))</f>
        <v>1.416666666666667</v>
      </c>
      <c r="G41" s="14">
        <f t="shared" si="5"/>
        <v>0.20833333333333304</v>
      </c>
      <c r="H41" s="14">
        <f t="shared" si="5"/>
        <v>2.3749999999999996</v>
      </c>
      <c r="I41" s="14">
        <f t="shared" si="5"/>
        <v>1.5416666666666661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3"/>
      <c r="U41" s="13"/>
      <c r="V41" s="13"/>
      <c r="W41" s="13"/>
      <c r="X41" s="13"/>
      <c r="Y41" s="17"/>
      <c r="Z41" s="17"/>
    </row>
    <row r="42" spans="1:26" ht="11.25" customHeight="1" x14ac:dyDescent="0.4">
      <c r="A42" s="7" t="s">
        <v>71</v>
      </c>
      <c r="B42" s="7" t="s">
        <v>72</v>
      </c>
      <c r="C42" s="10">
        <v>10000</v>
      </c>
      <c r="D42" s="10">
        <v>6</v>
      </c>
      <c r="E42" s="10" t="s">
        <v>45</v>
      </c>
      <c r="F42" s="10" t="s">
        <v>17</v>
      </c>
      <c r="G42" s="10" t="s">
        <v>73</v>
      </c>
      <c r="H42" s="10" t="s">
        <v>14</v>
      </c>
      <c r="I42" s="10" t="s">
        <v>74</v>
      </c>
      <c r="J42" s="10" t="s">
        <v>75</v>
      </c>
      <c r="K42" s="10" t="s">
        <v>14</v>
      </c>
      <c r="L42" s="10" t="s">
        <v>76</v>
      </c>
      <c r="M42" s="10" t="s">
        <v>73</v>
      </c>
      <c r="N42" s="10" t="s">
        <v>45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7"/>
      <c r="Z42" s="17"/>
    </row>
    <row r="43" spans="1:26" ht="11.25" customHeight="1" x14ac:dyDescent="0.4">
      <c r="A43" s="7"/>
      <c r="B43" s="7"/>
      <c r="C43" s="8" t="s">
        <v>20</v>
      </c>
      <c r="D43" s="8"/>
      <c r="E43" s="8" t="s">
        <v>77</v>
      </c>
      <c r="F43" s="8" t="s">
        <v>31</v>
      </c>
      <c r="G43" s="8" t="s">
        <v>78</v>
      </c>
      <c r="H43" s="8" t="s">
        <v>79</v>
      </c>
      <c r="I43" s="8" t="s">
        <v>80</v>
      </c>
      <c r="J43" s="8" t="s">
        <v>81</v>
      </c>
      <c r="K43" s="8" t="s">
        <v>82</v>
      </c>
      <c r="L43" s="8" t="s">
        <v>83</v>
      </c>
      <c r="M43" s="8" t="s">
        <v>84</v>
      </c>
      <c r="N43" s="8" t="s">
        <v>77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17"/>
      <c r="Z43" s="17"/>
    </row>
    <row r="44" spans="1:26" ht="11.25" customHeight="1" x14ac:dyDescent="0.4">
      <c r="A44" s="7"/>
      <c r="B44" s="7"/>
      <c r="C44" s="9" t="s">
        <v>34</v>
      </c>
      <c r="D44" s="9"/>
      <c r="E44" s="8" t="s">
        <v>37</v>
      </c>
      <c r="F44" s="8" t="s">
        <v>38</v>
      </c>
      <c r="G44" s="8" t="s">
        <v>37</v>
      </c>
      <c r="H44" s="8" t="s">
        <v>35</v>
      </c>
      <c r="I44" s="8" t="s">
        <v>41</v>
      </c>
      <c r="J44" s="8" t="s">
        <v>39</v>
      </c>
      <c r="K44" s="8" t="s">
        <v>39</v>
      </c>
      <c r="L44" s="8" t="s">
        <v>37</v>
      </c>
      <c r="M44" s="8" t="s">
        <v>42</v>
      </c>
      <c r="N44" s="8" t="s">
        <v>37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17"/>
      <c r="Z44" s="17"/>
    </row>
    <row r="45" spans="1:26" ht="11.25" customHeight="1" x14ac:dyDescent="0.4">
      <c r="A45" s="7"/>
      <c r="B45" s="7"/>
      <c r="C45" s="10"/>
      <c r="D45" s="10"/>
      <c r="E45" s="11">
        <v>0.79166666666666663</v>
      </c>
      <c r="F45" s="11">
        <v>0.45833333333333331</v>
      </c>
      <c r="G45" s="11">
        <v>0.91666666666666663</v>
      </c>
      <c r="H45" s="11">
        <v>0.33333333333333331</v>
      </c>
      <c r="I45" s="11">
        <v>0.70833333333333337</v>
      </c>
      <c r="J45" s="11">
        <v>0.33333333333333331</v>
      </c>
      <c r="K45" s="11">
        <v>0.29166666666666669</v>
      </c>
      <c r="L45" s="11">
        <v>4.1666666666666664E-2</v>
      </c>
      <c r="M45" s="11">
        <v>0.85416666666666663</v>
      </c>
      <c r="N45" s="11">
        <v>0.79166666666666663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17"/>
      <c r="Z45" s="17"/>
    </row>
    <row r="46" spans="1:26" ht="11.25" customHeight="1" x14ac:dyDescent="0.4">
      <c r="A46" s="7"/>
      <c r="B46" s="7"/>
      <c r="C46" s="9" t="s">
        <v>40</v>
      </c>
      <c r="D46" s="9"/>
      <c r="E46" s="8" t="s">
        <v>42</v>
      </c>
      <c r="F46" s="8" t="s">
        <v>39</v>
      </c>
      <c r="G46" s="8" t="s">
        <v>42</v>
      </c>
      <c r="H46" s="8" t="s">
        <v>35</v>
      </c>
      <c r="I46" s="8" t="s">
        <v>35</v>
      </c>
      <c r="J46" s="8" t="s">
        <v>41</v>
      </c>
      <c r="K46" s="8" t="s">
        <v>36</v>
      </c>
      <c r="L46" s="8" t="s">
        <v>37</v>
      </c>
      <c r="M46" s="8" t="s">
        <v>35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17"/>
      <c r="Z46" s="17"/>
    </row>
    <row r="47" spans="1:26" ht="11.25" customHeight="1" x14ac:dyDescent="0.4">
      <c r="A47" s="7"/>
      <c r="B47" s="7"/>
      <c r="C47" s="10"/>
      <c r="D47" s="10"/>
      <c r="E47" s="11">
        <v>0.625</v>
      </c>
      <c r="F47" s="11">
        <v>0.875</v>
      </c>
      <c r="G47" s="11">
        <v>0.29166666666666669</v>
      </c>
      <c r="H47" s="11">
        <v>0.91666666666666663</v>
      </c>
      <c r="I47" s="11">
        <v>0.95833333333333337</v>
      </c>
      <c r="J47" s="11">
        <v>4.1666666666666664E-2</v>
      </c>
      <c r="K47" s="11">
        <v>0.5625</v>
      </c>
      <c r="L47" s="11">
        <v>0.91666666666666663</v>
      </c>
      <c r="M47" s="11">
        <v>0.39583333333333331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17"/>
      <c r="Z47" s="17"/>
    </row>
    <row r="48" spans="1:26" ht="11.25" customHeight="1" thickBot="1" x14ac:dyDescent="0.45">
      <c r="A48" s="7"/>
      <c r="B48" s="7"/>
      <c r="C48" s="13" t="s">
        <v>43</v>
      </c>
      <c r="D48" s="9"/>
      <c r="E48" s="9"/>
      <c r="F48" s="14">
        <f t="shared" ref="F48:N48" si="6">((MATCH(F44,{"MON","TUE","WED","THU","FRI","SAT","SUN"},0)+F45+IF(MATCH(F44,{"MON","TUE","WED","THU","FRI","SAT","SUN"},0)&lt;MATCH(E46,{"MON","TUE","WED","THU","FRI","SAT","SUN"},0),7,0))-(MATCH(E46,{"MON","TUE","WED","THU","FRI","SAT","SUN"},0)+E47))</f>
        <v>1.8333333333333339</v>
      </c>
      <c r="G48" s="14">
        <f t="shared" si="6"/>
        <v>3.041666666666667</v>
      </c>
      <c r="H48" s="14">
        <f t="shared" si="6"/>
        <v>1.0416666666666661</v>
      </c>
      <c r="I48" s="14">
        <f t="shared" si="6"/>
        <v>3.7916666666666652</v>
      </c>
      <c r="J48" s="14">
        <f t="shared" si="6"/>
        <v>1.3750000000000009</v>
      </c>
      <c r="K48" s="14">
        <f t="shared" si="6"/>
        <v>5.2499999999999991</v>
      </c>
      <c r="L48" s="14">
        <f t="shared" si="6"/>
        <v>1.479166666666667</v>
      </c>
      <c r="M48" s="14">
        <f t="shared" si="6"/>
        <v>0.9375</v>
      </c>
      <c r="N48" s="14">
        <f t="shared" si="6"/>
        <v>5.3958333333333348</v>
      </c>
      <c r="O48" s="14"/>
      <c r="P48" s="14"/>
      <c r="Q48" s="14"/>
      <c r="R48" s="14"/>
      <c r="S48" s="14"/>
      <c r="T48" s="13"/>
      <c r="U48" s="13"/>
      <c r="V48" s="13"/>
      <c r="W48" s="13"/>
      <c r="X48" s="13"/>
      <c r="Y48" s="17"/>
      <c r="Z48" s="17"/>
    </row>
    <row r="49" spans="1:26" ht="11.25" customHeight="1" x14ac:dyDescent="0.4">
      <c r="A49" s="5" t="s">
        <v>71</v>
      </c>
      <c r="B49" s="5" t="s">
        <v>85</v>
      </c>
      <c r="C49" s="6">
        <v>8800</v>
      </c>
      <c r="D49" s="6">
        <v>7</v>
      </c>
      <c r="E49" s="6" t="s">
        <v>52</v>
      </c>
      <c r="F49" s="6" t="s">
        <v>17</v>
      </c>
      <c r="G49" s="6" t="s">
        <v>16</v>
      </c>
      <c r="H49" s="6" t="s">
        <v>15</v>
      </c>
      <c r="I49" s="6" t="s">
        <v>75</v>
      </c>
      <c r="J49" s="6" t="s">
        <v>74</v>
      </c>
      <c r="K49" s="6" t="s">
        <v>14</v>
      </c>
      <c r="L49" s="6" t="s">
        <v>76</v>
      </c>
      <c r="M49" s="6" t="s">
        <v>52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7"/>
      <c r="Z49" s="17"/>
    </row>
    <row r="50" spans="1:26" ht="11.25" customHeight="1" x14ac:dyDescent="0.4">
      <c r="A50" s="7"/>
      <c r="B50" s="7"/>
      <c r="C50" s="8" t="s">
        <v>20</v>
      </c>
      <c r="D50" s="8"/>
      <c r="E50" s="8" t="s">
        <v>55</v>
      </c>
      <c r="F50" s="8" t="s">
        <v>31</v>
      </c>
      <c r="G50" s="8" t="s">
        <v>49</v>
      </c>
      <c r="H50" s="8" t="s">
        <v>29</v>
      </c>
      <c r="I50" s="8" t="s">
        <v>81</v>
      </c>
      <c r="J50" s="8" t="s">
        <v>80</v>
      </c>
      <c r="K50" s="8" t="s">
        <v>82</v>
      </c>
      <c r="L50" s="8" t="s">
        <v>86</v>
      </c>
      <c r="M50" s="8" t="s">
        <v>55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17"/>
      <c r="Z50" s="17"/>
    </row>
    <row r="51" spans="1:26" ht="11.25" customHeight="1" x14ac:dyDescent="0.4">
      <c r="A51" s="7"/>
      <c r="B51" s="7"/>
      <c r="C51" s="9" t="s">
        <v>34</v>
      </c>
      <c r="D51" s="9"/>
      <c r="E51" s="8" t="s">
        <v>35</v>
      </c>
      <c r="F51" s="8" t="s">
        <v>36</v>
      </c>
      <c r="G51" s="8" t="s">
        <v>37</v>
      </c>
      <c r="H51" s="8" t="s">
        <v>39</v>
      </c>
      <c r="I51" s="8" t="s">
        <v>38</v>
      </c>
      <c r="J51" s="8" t="s">
        <v>42</v>
      </c>
      <c r="K51" s="8" t="s">
        <v>35</v>
      </c>
      <c r="L51" s="8" t="s">
        <v>36</v>
      </c>
      <c r="M51" s="8" t="s">
        <v>35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17"/>
      <c r="Z51" s="17"/>
    </row>
    <row r="52" spans="1:26" ht="11.25" customHeight="1" x14ac:dyDescent="0.4">
      <c r="A52" s="7"/>
      <c r="B52" s="7"/>
      <c r="C52" s="10"/>
      <c r="D52" s="10"/>
      <c r="E52" s="11">
        <v>0.20833333333333334</v>
      </c>
      <c r="F52" s="11">
        <v>0.16666666666666666</v>
      </c>
      <c r="G52" s="11">
        <v>0.54166666666666663</v>
      </c>
      <c r="H52" s="11">
        <v>0.58333333333333337</v>
      </c>
      <c r="I52" s="11">
        <v>0.66666666666666663</v>
      </c>
      <c r="J52" s="11">
        <v>0.70833333333333337</v>
      </c>
      <c r="K52" s="11">
        <v>0.75</v>
      </c>
      <c r="L52" s="11">
        <v>0.5</v>
      </c>
      <c r="M52" s="11">
        <v>0.20833333333333334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17"/>
      <c r="Z52" s="17"/>
    </row>
    <row r="53" spans="1:26" ht="11.25" customHeight="1" x14ac:dyDescent="0.4">
      <c r="A53" s="7"/>
      <c r="B53" s="7"/>
      <c r="C53" s="9" t="s">
        <v>40</v>
      </c>
      <c r="D53" s="9"/>
      <c r="E53" s="8" t="s">
        <v>38</v>
      </c>
      <c r="F53" s="8" t="s">
        <v>41</v>
      </c>
      <c r="G53" s="8" t="s">
        <v>35</v>
      </c>
      <c r="H53" s="8" t="s">
        <v>36</v>
      </c>
      <c r="I53" s="8" t="s">
        <v>37</v>
      </c>
      <c r="J53" s="8" t="s">
        <v>39</v>
      </c>
      <c r="K53" s="8" t="s">
        <v>38</v>
      </c>
      <c r="L53" s="8" t="s">
        <v>41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17"/>
      <c r="Z53" s="17"/>
    </row>
    <row r="54" spans="1:26" ht="11.25" customHeight="1" x14ac:dyDescent="0.4">
      <c r="A54" s="7"/>
      <c r="B54" s="7"/>
      <c r="C54" s="10"/>
      <c r="D54" s="10"/>
      <c r="E54" s="11">
        <v>8.3333333333333329E-2</v>
      </c>
      <c r="F54" s="11">
        <v>0.45833333333333331</v>
      </c>
      <c r="G54" s="11">
        <v>0.16666666666666666</v>
      </c>
      <c r="H54" s="11">
        <v>0.75</v>
      </c>
      <c r="I54" s="11">
        <v>0.66666666666666663</v>
      </c>
      <c r="J54" s="11">
        <v>0.33333333333333331</v>
      </c>
      <c r="K54" s="11">
        <v>0.6875</v>
      </c>
      <c r="L54" s="11">
        <v>4.1666666666666664E-2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17"/>
      <c r="Z54" s="17"/>
    </row>
    <row r="55" spans="1:26" ht="11.25" customHeight="1" thickBot="1" x14ac:dyDescent="0.45">
      <c r="A55" s="12"/>
      <c r="B55" s="12"/>
      <c r="C55" s="13" t="s">
        <v>43</v>
      </c>
      <c r="D55" s="13"/>
      <c r="E55" s="13"/>
      <c r="F55" s="14">
        <f t="shared" ref="F55:M55" si="7">((MATCH(F51,{"MON","TUE","WED","THU","FRI","SAT","SUN"},0)+F52+IF(MATCH(F51,{"MON","TUE","WED","THU","FRI","SAT","SUN"},0)&lt;MATCH(E53,{"MON","TUE","WED","THU","FRI","SAT","SUN"},0),7,0))-(MATCH(E53,{"MON","TUE","WED","THU","FRI","SAT","SUN"},0)+E54))</f>
        <v>2.083333333333333</v>
      </c>
      <c r="G55" s="14">
        <f t="shared" si="7"/>
        <v>1.0833333333333339</v>
      </c>
      <c r="H55" s="14">
        <f t="shared" si="7"/>
        <v>2.416666666666667</v>
      </c>
      <c r="I55" s="14">
        <f t="shared" si="7"/>
        <v>4.9166666666666661</v>
      </c>
      <c r="J55" s="14">
        <f t="shared" si="7"/>
        <v>1.0416666666666661</v>
      </c>
      <c r="K55" s="14">
        <f t="shared" si="7"/>
        <v>5.4166666666666661</v>
      </c>
      <c r="L55" s="14">
        <f t="shared" si="7"/>
        <v>1.8125</v>
      </c>
      <c r="M55" s="14">
        <f t="shared" si="7"/>
        <v>3.1666666666666661</v>
      </c>
      <c r="N55" s="14"/>
      <c r="O55" s="14"/>
      <c r="P55" s="14"/>
      <c r="Q55" s="14"/>
      <c r="R55" s="14"/>
      <c r="S55" s="14"/>
      <c r="T55" s="13"/>
      <c r="U55" s="13"/>
      <c r="V55" s="13"/>
      <c r="W55" s="13"/>
      <c r="X55" s="13"/>
      <c r="Y55" s="17"/>
      <c r="Z55" s="17"/>
    </row>
    <row r="56" spans="1:26" ht="11.25" customHeight="1" x14ac:dyDescent="0.4">
      <c r="A56" s="7" t="s">
        <v>71</v>
      </c>
      <c r="B56" s="7" t="s">
        <v>87</v>
      </c>
      <c r="C56" s="10">
        <v>12000</v>
      </c>
      <c r="D56" s="10">
        <v>13</v>
      </c>
      <c r="E56" s="10" t="s">
        <v>45</v>
      </c>
      <c r="F56" s="10" t="s">
        <v>11</v>
      </c>
      <c r="G56" s="10" t="s">
        <v>16</v>
      </c>
      <c r="H56" s="10" t="s">
        <v>17</v>
      </c>
      <c r="I56" s="10" t="s">
        <v>15</v>
      </c>
      <c r="J56" s="10" t="s">
        <v>88</v>
      </c>
      <c r="K56" s="10" t="s">
        <v>89</v>
      </c>
      <c r="L56" s="10" t="s">
        <v>90</v>
      </c>
      <c r="M56" s="10" t="s">
        <v>91</v>
      </c>
      <c r="N56" s="10" t="s">
        <v>88</v>
      </c>
      <c r="O56" s="10" t="s">
        <v>92</v>
      </c>
      <c r="P56" s="10" t="s">
        <v>45</v>
      </c>
      <c r="Q56" s="10"/>
      <c r="R56" s="10"/>
      <c r="S56" s="10"/>
      <c r="T56" s="10"/>
      <c r="U56" s="10"/>
      <c r="V56" s="10"/>
      <c r="W56" s="10"/>
      <c r="X56" s="10"/>
      <c r="Y56" s="17"/>
      <c r="Z56" s="17"/>
    </row>
    <row r="57" spans="1:26" ht="11.25" customHeight="1" x14ac:dyDescent="0.4">
      <c r="A57" s="7"/>
      <c r="B57" s="7"/>
      <c r="C57" s="8" t="s">
        <v>20</v>
      </c>
      <c r="D57" s="8"/>
      <c r="E57" s="8" t="s">
        <v>47</v>
      </c>
      <c r="F57" s="8" t="s">
        <v>25</v>
      </c>
      <c r="G57" s="8" t="s">
        <v>49</v>
      </c>
      <c r="H57" s="8" t="s">
        <v>31</v>
      </c>
      <c r="I57" s="8" t="s">
        <v>57</v>
      </c>
      <c r="J57" s="8" t="s">
        <v>93</v>
      </c>
      <c r="K57" s="8" t="s">
        <v>94</v>
      </c>
      <c r="L57" s="8" t="s">
        <v>95</v>
      </c>
      <c r="M57" s="8" t="s">
        <v>96</v>
      </c>
      <c r="N57" s="8" t="s">
        <v>93</v>
      </c>
      <c r="O57" s="8" t="s">
        <v>97</v>
      </c>
      <c r="P57" s="8" t="s">
        <v>47</v>
      </c>
      <c r="Q57" s="8"/>
      <c r="R57" s="8"/>
      <c r="S57" s="8"/>
      <c r="T57" s="8"/>
      <c r="U57" s="8"/>
      <c r="V57" s="8"/>
      <c r="W57" s="8"/>
      <c r="X57" s="8"/>
      <c r="Y57" s="17"/>
      <c r="Z57" s="17"/>
    </row>
    <row r="58" spans="1:26" ht="11.25" customHeight="1" x14ac:dyDescent="0.4">
      <c r="A58" s="7"/>
      <c r="B58" s="7"/>
      <c r="C58" s="9" t="s">
        <v>34</v>
      </c>
      <c r="D58" s="9"/>
      <c r="E58" s="8" t="s">
        <v>42</v>
      </c>
      <c r="F58" s="8" t="s">
        <v>38</v>
      </c>
      <c r="G58" s="8" t="s">
        <v>41</v>
      </c>
      <c r="H58" s="8" t="s">
        <v>35</v>
      </c>
      <c r="I58" s="8" t="s">
        <v>36</v>
      </c>
      <c r="J58" s="8" t="s">
        <v>36</v>
      </c>
      <c r="K58" s="8" t="s">
        <v>39</v>
      </c>
      <c r="L58" s="8" t="s">
        <v>35</v>
      </c>
      <c r="M58" s="8" t="s">
        <v>39</v>
      </c>
      <c r="N58" s="8" t="s">
        <v>35</v>
      </c>
      <c r="O58" s="8" t="s">
        <v>38</v>
      </c>
      <c r="P58" s="8" t="s">
        <v>42</v>
      </c>
      <c r="Q58" s="8"/>
      <c r="R58" s="8"/>
      <c r="S58" s="8"/>
      <c r="T58" s="8"/>
      <c r="U58" s="8"/>
      <c r="V58" s="8"/>
      <c r="W58" s="8"/>
      <c r="X58" s="8"/>
      <c r="Y58" s="17"/>
      <c r="Z58" s="17"/>
    </row>
    <row r="59" spans="1:26" ht="11.25" customHeight="1" x14ac:dyDescent="0.4">
      <c r="A59" s="7"/>
      <c r="B59" s="7"/>
      <c r="C59" s="10"/>
      <c r="D59" s="10"/>
      <c r="E59" s="11">
        <v>0.75</v>
      </c>
      <c r="F59" s="11">
        <v>0.66666666666666663</v>
      </c>
      <c r="G59" s="11">
        <v>0.75</v>
      </c>
      <c r="H59" s="11">
        <v>0.5</v>
      </c>
      <c r="I59" s="11">
        <v>0.83333333333333337</v>
      </c>
      <c r="J59" s="11">
        <v>0.91666666666666663</v>
      </c>
      <c r="K59" s="11">
        <v>0.85416666666666663</v>
      </c>
      <c r="L59" s="8">
        <v>30</v>
      </c>
      <c r="M59" s="11">
        <v>0.52083333333333337</v>
      </c>
      <c r="N59" s="11">
        <v>0.91666666666666663</v>
      </c>
      <c r="O59" s="11">
        <v>0.75</v>
      </c>
      <c r="P59" s="11">
        <v>0.75</v>
      </c>
      <c r="Q59" s="8"/>
      <c r="R59" s="8"/>
      <c r="S59" s="8"/>
      <c r="T59" s="8"/>
      <c r="U59" s="8"/>
      <c r="V59" s="8"/>
      <c r="W59" s="8"/>
      <c r="X59" s="8"/>
      <c r="Y59" s="17"/>
      <c r="Z59" s="17"/>
    </row>
    <row r="60" spans="1:26" ht="11.25" customHeight="1" x14ac:dyDescent="0.4">
      <c r="A60" s="7"/>
      <c r="B60" s="7"/>
      <c r="C60" s="9" t="s">
        <v>40</v>
      </c>
      <c r="D60" s="9"/>
      <c r="E60" s="8" t="s">
        <v>35</v>
      </c>
      <c r="F60" s="8" t="s">
        <v>39</v>
      </c>
      <c r="G60" s="8" t="s">
        <v>42</v>
      </c>
      <c r="H60" s="8" t="s">
        <v>38</v>
      </c>
      <c r="I60" s="8" t="s">
        <v>37</v>
      </c>
      <c r="J60" s="8" t="s">
        <v>41</v>
      </c>
      <c r="K60" s="8" t="s">
        <v>41</v>
      </c>
      <c r="L60" s="8" t="s">
        <v>38</v>
      </c>
      <c r="M60" s="8" t="s">
        <v>36</v>
      </c>
      <c r="N60" s="8" t="s">
        <v>38</v>
      </c>
      <c r="O60" s="8" t="s">
        <v>39</v>
      </c>
      <c r="P60" s="8"/>
      <c r="Q60" s="8"/>
      <c r="R60" s="8"/>
      <c r="S60" s="8"/>
      <c r="T60" s="8"/>
      <c r="U60" s="8"/>
      <c r="V60" s="8"/>
      <c r="W60" s="8"/>
      <c r="X60" s="8"/>
      <c r="Y60" s="17"/>
      <c r="Z60" s="17"/>
    </row>
    <row r="61" spans="1:26" ht="11.25" customHeight="1" x14ac:dyDescent="0.4">
      <c r="A61" s="7"/>
      <c r="B61" s="7"/>
      <c r="C61" s="10"/>
      <c r="D61" s="10"/>
      <c r="E61" s="11">
        <v>0.5</v>
      </c>
      <c r="F61" s="11">
        <v>0.54166666666666663</v>
      </c>
      <c r="G61" s="11">
        <v>4.1666666666666664E-2</v>
      </c>
      <c r="H61" s="11">
        <v>0.125</v>
      </c>
      <c r="I61" s="11">
        <v>8.3333333333333329E-2</v>
      </c>
      <c r="J61" s="11">
        <v>0.58333333333333337</v>
      </c>
      <c r="K61" s="11">
        <v>0.97916666666666663</v>
      </c>
      <c r="L61" s="11">
        <v>0.9375</v>
      </c>
      <c r="M61" s="11">
        <v>0.8125</v>
      </c>
      <c r="N61" s="11">
        <v>0.58333333333333337</v>
      </c>
      <c r="O61" s="11">
        <v>0.25</v>
      </c>
      <c r="P61" s="8"/>
      <c r="Q61" s="8"/>
      <c r="R61" s="8"/>
      <c r="S61" s="8"/>
      <c r="T61" s="8"/>
      <c r="U61" s="8"/>
      <c r="V61" s="8"/>
      <c r="W61" s="8"/>
      <c r="X61" s="8"/>
      <c r="Y61" s="17"/>
      <c r="Z61" s="17"/>
    </row>
    <row r="62" spans="1:26" ht="11.25" customHeight="1" thickBot="1" x14ac:dyDescent="0.45">
      <c r="A62" s="7"/>
      <c r="B62" s="7"/>
      <c r="C62" s="13" t="s">
        <v>43</v>
      </c>
      <c r="D62" s="9"/>
      <c r="E62" s="9"/>
      <c r="F62" s="14">
        <f t="shared" ref="F62:O62" si="8">((MATCH(F58,{"MON","TUE","WED","THU","FRI","SAT","SUN"},0)+F59+IF(MATCH(F58,{"MON","TUE","WED","THU","FRI","SAT","SUN"},0)&lt;MATCH(E60,{"MON","TUE","WED","THU","FRI","SAT","SUN"},0),7,0))-(MATCH(E60,{"MON","TUE","WED","THU","FRI","SAT","SUN"},0)+E61))</f>
        <v>1.1666666666666661</v>
      </c>
      <c r="G62" s="14">
        <f t="shared" si="8"/>
        <v>2.2083333333333335</v>
      </c>
      <c r="H62" s="14">
        <f t="shared" si="8"/>
        <v>1.458333333333333</v>
      </c>
      <c r="I62" s="14">
        <f t="shared" si="8"/>
        <v>2.7083333333333335</v>
      </c>
      <c r="J62" s="14">
        <f t="shared" si="8"/>
        <v>5.833333333333333</v>
      </c>
      <c r="K62" s="14">
        <f t="shared" si="8"/>
        <v>5.270833333333333</v>
      </c>
      <c r="L62" s="14">
        <f t="shared" si="8"/>
        <v>32.020833333333336</v>
      </c>
      <c r="M62" s="14">
        <f t="shared" si="8"/>
        <v>0.58333333333333348</v>
      </c>
      <c r="N62" s="14">
        <f t="shared" si="8"/>
        <v>4.104166666666667</v>
      </c>
      <c r="O62" s="14">
        <f t="shared" si="8"/>
        <v>0.16666666666666652</v>
      </c>
      <c r="P62" s="14"/>
      <c r="Q62" s="14"/>
      <c r="R62" s="14"/>
      <c r="S62" s="14"/>
      <c r="T62" s="13"/>
      <c r="U62" s="13"/>
      <c r="V62" s="13"/>
      <c r="W62" s="13"/>
      <c r="X62" s="13"/>
      <c r="Y62" s="17"/>
      <c r="Z62" s="17"/>
    </row>
    <row r="63" spans="1:26" ht="11.25" customHeight="1" x14ac:dyDescent="0.4">
      <c r="A63" s="5" t="s">
        <v>98</v>
      </c>
      <c r="B63" s="5" t="s">
        <v>99</v>
      </c>
      <c r="C63" s="6">
        <v>10000</v>
      </c>
      <c r="D63" s="6">
        <v>13</v>
      </c>
      <c r="E63" s="6" t="s">
        <v>9</v>
      </c>
      <c r="F63" s="6" t="s">
        <v>10</v>
      </c>
      <c r="G63" s="6" t="s">
        <v>11</v>
      </c>
      <c r="H63" s="6" t="s">
        <v>16</v>
      </c>
      <c r="I63" s="6" t="s">
        <v>15</v>
      </c>
      <c r="J63" s="6" t="s">
        <v>88</v>
      </c>
      <c r="K63" s="6" t="s">
        <v>100</v>
      </c>
      <c r="L63" s="6" t="s">
        <v>90</v>
      </c>
      <c r="M63" s="6" t="s">
        <v>101</v>
      </c>
      <c r="N63" s="6" t="s">
        <v>89</v>
      </c>
      <c r="O63" s="6" t="s">
        <v>102</v>
      </c>
      <c r="P63" s="6" t="s">
        <v>9</v>
      </c>
      <c r="Q63" s="6"/>
      <c r="R63" s="6"/>
      <c r="S63" s="6"/>
      <c r="T63" s="6"/>
      <c r="U63" s="6"/>
      <c r="V63" s="6"/>
      <c r="W63" s="6"/>
      <c r="X63" s="6"/>
      <c r="Y63" s="17"/>
      <c r="Z63" s="17"/>
    </row>
    <row r="64" spans="1:26" ht="11.25" customHeight="1" x14ac:dyDescent="0.4">
      <c r="A64" s="7"/>
      <c r="B64" s="7"/>
      <c r="C64" s="8" t="s">
        <v>20</v>
      </c>
      <c r="D64" s="8"/>
      <c r="E64" s="8" t="s">
        <v>23</v>
      </c>
      <c r="F64" s="8" t="s">
        <v>24</v>
      </c>
      <c r="G64" s="8" t="s">
        <v>25</v>
      </c>
      <c r="H64" s="8" t="s">
        <v>49</v>
      </c>
      <c r="I64" s="8" t="s">
        <v>103</v>
      </c>
      <c r="J64" s="8" t="s">
        <v>93</v>
      </c>
      <c r="K64" s="8" t="s">
        <v>104</v>
      </c>
      <c r="L64" s="8" t="s">
        <v>95</v>
      </c>
      <c r="M64" s="8" t="s">
        <v>105</v>
      </c>
      <c r="N64" s="8" t="s">
        <v>94</v>
      </c>
      <c r="O64" s="8" t="s">
        <v>106</v>
      </c>
      <c r="P64" s="8" t="s">
        <v>23</v>
      </c>
      <c r="Q64" s="8"/>
      <c r="R64" s="8"/>
      <c r="S64" s="8"/>
      <c r="T64" s="8"/>
      <c r="U64" s="8"/>
      <c r="V64" s="8"/>
      <c r="W64" s="8"/>
      <c r="X64" s="8"/>
      <c r="Y64" s="17"/>
      <c r="Z64" s="17"/>
    </row>
    <row r="65" spans="1:26" ht="11.25" customHeight="1" x14ac:dyDescent="0.4">
      <c r="A65" s="7"/>
      <c r="B65" s="7"/>
      <c r="C65" s="9" t="s">
        <v>34</v>
      </c>
      <c r="D65" s="9"/>
      <c r="E65" s="8" t="s">
        <v>35</v>
      </c>
      <c r="F65" s="8" t="s">
        <v>36</v>
      </c>
      <c r="G65" s="8" t="s">
        <v>38</v>
      </c>
      <c r="H65" s="8" t="s">
        <v>41</v>
      </c>
      <c r="I65" s="8" t="s">
        <v>38</v>
      </c>
      <c r="J65" s="8" t="s">
        <v>38</v>
      </c>
      <c r="K65" s="8" t="s">
        <v>36</v>
      </c>
      <c r="L65" s="8" t="s">
        <v>39</v>
      </c>
      <c r="M65" s="8" t="s">
        <v>39</v>
      </c>
      <c r="N65" s="8" t="s">
        <v>37</v>
      </c>
      <c r="O65" s="8" t="s">
        <v>39</v>
      </c>
      <c r="P65" s="8" t="s">
        <v>35</v>
      </c>
      <c r="Q65" s="8"/>
      <c r="R65" s="8"/>
      <c r="S65" s="8"/>
      <c r="T65" s="8"/>
      <c r="U65" s="8"/>
      <c r="V65" s="8"/>
      <c r="W65" s="8"/>
      <c r="X65" s="8"/>
      <c r="Y65" s="17"/>
      <c r="Z65" s="17"/>
    </row>
    <row r="66" spans="1:26" ht="11.25" customHeight="1" x14ac:dyDescent="0.4">
      <c r="A66" s="7"/>
      <c r="B66" s="7"/>
      <c r="C66" s="10"/>
      <c r="D66" s="10"/>
      <c r="E66" s="11">
        <v>0.125</v>
      </c>
      <c r="F66" s="11">
        <v>0.95833333333333337</v>
      </c>
      <c r="G66" s="11">
        <v>0.22916666666666666</v>
      </c>
      <c r="H66" s="11">
        <v>0.5625</v>
      </c>
      <c r="I66" s="11">
        <v>0.45833333333333331</v>
      </c>
      <c r="J66" s="11">
        <v>0.91666666666666663</v>
      </c>
      <c r="K66" s="11">
        <v>0.79166666666666663</v>
      </c>
      <c r="L66" s="11">
        <v>0.79166666666666663</v>
      </c>
      <c r="M66" s="11">
        <v>0.29166666666666669</v>
      </c>
      <c r="N66" s="11">
        <v>0.54166666666666663</v>
      </c>
      <c r="O66" s="11">
        <v>0.20833333333333334</v>
      </c>
      <c r="P66" s="11">
        <v>0.125</v>
      </c>
      <c r="Q66" s="8"/>
      <c r="R66" s="8"/>
      <c r="S66" s="8"/>
      <c r="T66" s="8"/>
      <c r="U66" s="8"/>
      <c r="V66" s="8"/>
      <c r="W66" s="8"/>
      <c r="X66" s="8"/>
      <c r="Y66" s="17"/>
      <c r="Z66" s="17"/>
    </row>
    <row r="67" spans="1:26" ht="11.25" customHeight="1" x14ac:dyDescent="0.4">
      <c r="A67" s="7"/>
      <c r="B67" s="7"/>
      <c r="C67" s="9" t="s">
        <v>40</v>
      </c>
      <c r="D67" s="9"/>
      <c r="E67" s="8" t="s">
        <v>38</v>
      </c>
      <c r="F67" s="8" t="s">
        <v>41</v>
      </c>
      <c r="G67" s="8" t="s">
        <v>39</v>
      </c>
      <c r="H67" s="8" t="s">
        <v>37</v>
      </c>
      <c r="I67" s="8" t="s">
        <v>39</v>
      </c>
      <c r="J67" s="8" t="s">
        <v>39</v>
      </c>
      <c r="K67" s="8" t="s">
        <v>37</v>
      </c>
      <c r="L67" s="8" t="s">
        <v>35</v>
      </c>
      <c r="M67" s="8" t="s">
        <v>41</v>
      </c>
      <c r="N67" s="8" t="s">
        <v>35</v>
      </c>
      <c r="O67" s="8" t="s">
        <v>39</v>
      </c>
      <c r="P67" s="8"/>
      <c r="Q67" s="8"/>
      <c r="R67" s="8"/>
      <c r="S67" s="8"/>
      <c r="T67" s="8"/>
      <c r="U67" s="8"/>
      <c r="V67" s="8"/>
      <c r="W67" s="8"/>
      <c r="X67" s="8"/>
      <c r="Y67" s="17"/>
      <c r="Z67" s="17"/>
    </row>
    <row r="68" spans="1:26" ht="11.25" customHeight="1" x14ac:dyDescent="0.4">
      <c r="A68" s="7"/>
      <c r="B68" s="7"/>
      <c r="C68" s="10"/>
      <c r="D68" s="10"/>
      <c r="E68" s="11">
        <v>0.375</v>
      </c>
      <c r="F68" s="11">
        <v>0.70833333333333337</v>
      </c>
      <c r="G68" s="11">
        <v>0.10416666666666667</v>
      </c>
      <c r="H68" s="11">
        <v>0.8125</v>
      </c>
      <c r="I68" s="11">
        <v>0.5</v>
      </c>
      <c r="J68" s="11">
        <v>0.58333333333333337</v>
      </c>
      <c r="K68" s="11">
        <v>0.20833333333333334</v>
      </c>
      <c r="L68" s="11">
        <v>0.16666666666666666</v>
      </c>
      <c r="M68" s="11">
        <v>0.375</v>
      </c>
      <c r="N68" s="11">
        <v>0.33333333333333331</v>
      </c>
      <c r="O68" s="11">
        <v>0.75</v>
      </c>
      <c r="P68" s="8"/>
      <c r="Q68" s="8"/>
      <c r="R68" s="8"/>
      <c r="S68" s="8"/>
      <c r="T68" s="8"/>
      <c r="U68" s="8"/>
      <c r="V68" s="8"/>
      <c r="W68" s="8"/>
      <c r="X68" s="8"/>
      <c r="Y68" s="17"/>
      <c r="Z68" s="17"/>
    </row>
    <row r="69" spans="1:26" ht="11.25" customHeight="1" thickBot="1" x14ac:dyDescent="0.45">
      <c r="A69" s="12"/>
      <c r="B69" s="12"/>
      <c r="C69" s="13" t="s">
        <v>43</v>
      </c>
      <c r="D69" s="13"/>
      <c r="E69" s="13"/>
      <c r="F69" s="14">
        <f t="shared" ref="F69:P69" si="9">((MATCH(F65,{"MON","TUE","WED","THU","FRI","SAT","SUN"},0)+F66+IF(MATCH(F65,{"MON","TUE","WED","THU","FRI","SAT","SUN"},0)&lt;MATCH(E67,{"MON","TUE","WED","THU","FRI","SAT","SUN"},0),7,0))-(MATCH(E67,{"MON","TUE","WED","THU","FRI","SAT","SUN"},0)+E68))</f>
        <v>2.5833333333333335</v>
      </c>
      <c r="G69" s="14">
        <f t="shared" si="9"/>
        <v>3.520833333333333</v>
      </c>
      <c r="H69" s="14">
        <f t="shared" si="9"/>
        <v>2.4583333333333335</v>
      </c>
      <c r="I69" s="14">
        <f t="shared" si="9"/>
        <v>2.6458333333333339</v>
      </c>
      <c r="J69" s="14">
        <f t="shared" si="9"/>
        <v>6.4166666666666661</v>
      </c>
      <c r="K69" s="14">
        <f t="shared" si="9"/>
        <v>1.208333333333333</v>
      </c>
      <c r="L69" s="14">
        <f t="shared" si="9"/>
        <v>4.583333333333333</v>
      </c>
      <c r="M69" s="14">
        <f t="shared" si="9"/>
        <v>2.1249999999999991</v>
      </c>
      <c r="N69" s="14">
        <f t="shared" si="9"/>
        <v>1.166666666666667</v>
      </c>
      <c r="O69" s="14">
        <f t="shared" si="9"/>
        <v>1.8750000000000009</v>
      </c>
      <c r="P69" s="14">
        <f t="shared" si="9"/>
        <v>4.375</v>
      </c>
      <c r="Q69" s="14"/>
      <c r="R69" s="14"/>
      <c r="S69" s="14"/>
      <c r="T69" s="13"/>
      <c r="U69" s="13"/>
      <c r="V69" s="13"/>
      <c r="W69" s="13"/>
      <c r="X69" s="13"/>
      <c r="Y69" s="17"/>
      <c r="Z69" s="17"/>
    </row>
    <row r="70" spans="1:26" ht="11.25" customHeight="1" x14ac:dyDescent="0.4">
      <c r="A70" s="5" t="s">
        <v>98</v>
      </c>
      <c r="B70" s="7" t="s">
        <v>107</v>
      </c>
      <c r="C70" s="10">
        <v>8800</v>
      </c>
      <c r="D70" s="10">
        <v>14</v>
      </c>
      <c r="E70" s="10" t="s">
        <v>15</v>
      </c>
      <c r="F70" s="10" t="s">
        <v>16</v>
      </c>
      <c r="G70" s="10" t="s">
        <v>108</v>
      </c>
      <c r="H70" s="10" t="s">
        <v>10</v>
      </c>
      <c r="I70" s="10" t="s">
        <v>9</v>
      </c>
      <c r="J70" s="10" t="s">
        <v>109</v>
      </c>
      <c r="K70" s="10" t="s">
        <v>89</v>
      </c>
      <c r="L70" s="10" t="s">
        <v>110</v>
      </c>
      <c r="M70" s="10" t="s">
        <v>90</v>
      </c>
      <c r="N70" s="10" t="s">
        <v>91</v>
      </c>
      <c r="O70" s="10" t="s">
        <v>100</v>
      </c>
      <c r="P70" s="10" t="s">
        <v>88</v>
      </c>
      <c r="Q70" s="10" t="s">
        <v>15</v>
      </c>
      <c r="R70" s="10"/>
      <c r="S70" s="10"/>
      <c r="T70" s="10"/>
      <c r="U70" s="10"/>
      <c r="V70" s="10"/>
      <c r="W70" s="10"/>
      <c r="X70" s="10"/>
      <c r="Y70" s="17"/>
      <c r="Z70" s="17"/>
    </row>
    <row r="71" spans="1:26" ht="11.25" customHeight="1" x14ac:dyDescent="0.4">
      <c r="A71" s="7"/>
      <c r="B71" s="7"/>
      <c r="C71" s="8" t="s">
        <v>20</v>
      </c>
      <c r="D71" s="8"/>
      <c r="E71" s="8" t="s">
        <v>29</v>
      </c>
      <c r="F71" s="8" t="s">
        <v>49</v>
      </c>
      <c r="G71" s="8" t="s">
        <v>111</v>
      </c>
      <c r="H71" s="8" t="s">
        <v>24</v>
      </c>
      <c r="I71" s="8" t="s">
        <v>23</v>
      </c>
      <c r="J71" s="8" t="s">
        <v>112</v>
      </c>
      <c r="K71" s="8" t="s">
        <v>94</v>
      </c>
      <c r="L71" s="8" t="s">
        <v>113</v>
      </c>
      <c r="M71" s="8" t="s">
        <v>95</v>
      </c>
      <c r="N71" s="8" t="s">
        <v>96</v>
      </c>
      <c r="O71" s="8" t="s">
        <v>104</v>
      </c>
      <c r="P71" s="8" t="s">
        <v>93</v>
      </c>
      <c r="Q71" s="8" t="s">
        <v>29</v>
      </c>
      <c r="R71" s="8"/>
      <c r="S71" s="8"/>
      <c r="T71" s="8"/>
      <c r="U71" s="8"/>
      <c r="V71" s="8"/>
      <c r="W71" s="8"/>
      <c r="X71" s="8"/>
      <c r="Y71" s="17"/>
      <c r="Z71" s="17"/>
    </row>
    <row r="72" spans="1:26" ht="11.25" customHeight="1" x14ac:dyDescent="0.4">
      <c r="A72" s="7"/>
      <c r="B72" s="7"/>
      <c r="C72" s="9" t="s">
        <v>34</v>
      </c>
      <c r="D72" s="9"/>
      <c r="E72" s="8" t="s">
        <v>36</v>
      </c>
      <c r="F72" s="8" t="s">
        <v>42</v>
      </c>
      <c r="G72" s="8" t="s">
        <v>42</v>
      </c>
      <c r="H72" s="8" t="s">
        <v>41</v>
      </c>
      <c r="I72" s="8" t="s">
        <v>38</v>
      </c>
      <c r="J72" s="8" t="s">
        <v>35</v>
      </c>
      <c r="K72" s="8" t="s">
        <v>35</v>
      </c>
      <c r="L72" s="8" t="s">
        <v>37</v>
      </c>
      <c r="M72" s="8" t="s">
        <v>38</v>
      </c>
      <c r="N72" s="8" t="s">
        <v>37</v>
      </c>
      <c r="O72" s="8" t="s">
        <v>37</v>
      </c>
      <c r="P72" s="8" t="s">
        <v>35</v>
      </c>
      <c r="Q72" s="8" t="s">
        <v>36</v>
      </c>
      <c r="R72" s="8"/>
      <c r="S72" s="8"/>
      <c r="T72" s="8"/>
      <c r="U72" s="8"/>
      <c r="V72" s="8"/>
      <c r="W72" s="8"/>
      <c r="X72" s="8"/>
      <c r="Y72" s="17"/>
      <c r="Z72" s="17"/>
    </row>
    <row r="73" spans="1:26" ht="11.25" customHeight="1" x14ac:dyDescent="0.4">
      <c r="A73" s="7"/>
      <c r="B73" s="7"/>
      <c r="C73" s="10"/>
      <c r="D73" s="10"/>
      <c r="E73" s="11">
        <v>0.91666666666666663</v>
      </c>
      <c r="F73" s="11">
        <v>8.3333333333333329E-2</v>
      </c>
      <c r="G73" s="11">
        <v>0.95833333333333337</v>
      </c>
      <c r="H73" s="11">
        <v>0.79166666666666663</v>
      </c>
      <c r="I73" s="11">
        <v>0.5625</v>
      </c>
      <c r="J73" s="11">
        <v>0.16666666666666666</v>
      </c>
      <c r="K73" s="11">
        <v>0.72916666666666663</v>
      </c>
      <c r="L73" s="11">
        <v>0.72916666666666663</v>
      </c>
      <c r="M73" s="11">
        <v>0.72916666666666663</v>
      </c>
      <c r="N73" s="11">
        <v>0.75</v>
      </c>
      <c r="O73" s="11">
        <v>0.79166666666666663</v>
      </c>
      <c r="P73" s="11">
        <v>0.91666666666666663</v>
      </c>
      <c r="Q73" s="11">
        <v>0.91666666666666663</v>
      </c>
      <c r="R73" s="8"/>
      <c r="S73" s="8"/>
      <c r="T73" s="8"/>
      <c r="U73" s="8"/>
      <c r="V73" s="8"/>
      <c r="W73" s="8"/>
      <c r="X73" s="8"/>
      <c r="Y73" s="17"/>
      <c r="Z73" s="17"/>
    </row>
    <row r="74" spans="1:26" ht="11.25" customHeight="1" x14ac:dyDescent="0.4">
      <c r="A74" s="7"/>
      <c r="B74" s="7"/>
      <c r="C74" s="9" t="s">
        <v>40</v>
      </c>
      <c r="D74" s="9"/>
      <c r="E74" s="8" t="s">
        <v>41</v>
      </c>
      <c r="F74" s="8" t="s">
        <v>42</v>
      </c>
      <c r="G74" s="8" t="s">
        <v>39</v>
      </c>
      <c r="H74" s="8" t="s">
        <v>42</v>
      </c>
      <c r="I74" s="8" t="s">
        <v>36</v>
      </c>
      <c r="J74" s="8" t="s">
        <v>35</v>
      </c>
      <c r="K74" s="8" t="s">
        <v>39</v>
      </c>
      <c r="L74" s="8" t="s">
        <v>35</v>
      </c>
      <c r="M74" s="8" t="s">
        <v>41</v>
      </c>
      <c r="N74" s="8" t="s">
        <v>42</v>
      </c>
      <c r="O74" s="8" t="s">
        <v>35</v>
      </c>
      <c r="P74" s="8" t="s">
        <v>38</v>
      </c>
      <c r="Q74" s="8"/>
      <c r="R74" s="8"/>
      <c r="S74" s="8"/>
      <c r="T74" s="8"/>
      <c r="U74" s="8"/>
      <c r="V74" s="8"/>
      <c r="W74" s="8"/>
      <c r="X74" s="8"/>
      <c r="Y74" s="17"/>
      <c r="Z74" s="17"/>
    </row>
    <row r="75" spans="1:26" ht="11.25" customHeight="1" x14ac:dyDescent="0.4">
      <c r="A75" s="7"/>
      <c r="B75" s="7"/>
      <c r="C75" s="10"/>
      <c r="D75" s="10"/>
      <c r="E75" s="11">
        <v>0.75</v>
      </c>
      <c r="F75" s="11">
        <v>0.91666666666666663</v>
      </c>
      <c r="G75" s="11">
        <v>0.58333333333333337</v>
      </c>
      <c r="H75" s="11">
        <v>0.625</v>
      </c>
      <c r="I75" s="11">
        <v>6.25E-2</v>
      </c>
      <c r="J75" s="11">
        <v>0.66666666666666663</v>
      </c>
      <c r="K75" s="11">
        <v>0.85416666666666663</v>
      </c>
      <c r="L75" s="11">
        <v>2.0833333333333332E-2</v>
      </c>
      <c r="M75" s="11">
        <v>0.3125</v>
      </c>
      <c r="N75" s="11">
        <v>0.625</v>
      </c>
      <c r="O75" s="11">
        <v>0.20833333333333334</v>
      </c>
      <c r="P75" s="11">
        <v>0.58333333333333337</v>
      </c>
      <c r="Q75" s="8"/>
      <c r="R75" s="8"/>
      <c r="S75" s="8"/>
      <c r="T75" s="8"/>
      <c r="U75" s="8"/>
      <c r="V75" s="8"/>
      <c r="W75" s="8"/>
      <c r="X75" s="8"/>
      <c r="Y75" s="17"/>
      <c r="Z75" s="17"/>
    </row>
    <row r="76" spans="1:26" ht="11.25" customHeight="1" thickBot="1" x14ac:dyDescent="0.45">
      <c r="A76" s="7"/>
      <c r="B76" s="7"/>
      <c r="C76" s="13" t="s">
        <v>43</v>
      </c>
      <c r="D76" s="9"/>
      <c r="E76" s="9"/>
      <c r="F76" s="14">
        <f t="shared" ref="F76:J76" si="10">((MATCH(F72,{"MON","TUE","WED","THU","FRI","SAT","SUN"},0)+F73+IF(MATCH(F72,{"MON","TUE","WED","THU","FRI","SAT","SUN"},0)&lt;MATCH(E74,{"MON","TUE","WED","THU","FRI","SAT","SUN"},0),7,0))-(MATCH(E74,{"MON","TUE","WED","THU","FRI","SAT","SUN"},0)+E75))</f>
        <v>1.333333333333333</v>
      </c>
      <c r="G76" s="14">
        <f t="shared" si="10"/>
        <v>4.1666666666666075E-2</v>
      </c>
      <c r="H76" s="14">
        <f t="shared" si="10"/>
        <v>2.2083333333333335</v>
      </c>
      <c r="I76" s="14">
        <f t="shared" si="10"/>
        <v>1.9375</v>
      </c>
      <c r="J76" s="14">
        <f t="shared" si="10"/>
        <v>4.104166666666667</v>
      </c>
      <c r="K76" s="14">
        <f t="array" ref="K76">((MATCH(K72,{"MON","TUE","WED","THU","FRI","SAT","SUN"},0)+K73+IF(MATCH(K72,{"MON","TUE","WED","THU","FRI","SAT","SUN"},0)&lt;MATCH(J74,{"MON","TUE","WED","THU","FRI","SAT","SUN"},0),7,0))-(MATCH(J74,{"MON","TUE","WED","THU","FRI","SAT","SUN"},0)+J75))+7</f>
        <v>7.0625</v>
      </c>
      <c r="L76" s="14">
        <f t="shared" ref="L76:Q76" si="11">((MATCH(L72,{"MON","TUE","WED","THU","FRI","SAT","SUN"},0)+L73+IF(MATCH(L72,{"MON","TUE","WED","THU","FRI","SAT","SUN"},0)&lt;MATCH(K74,{"MON","TUE","WED","THU","FRI","SAT","SUN"},0),7,0))-(MATCH(K74,{"MON","TUE","WED","THU","FRI","SAT","SUN"},0)+K75))</f>
        <v>2.8750000000000004</v>
      </c>
      <c r="M76" s="14">
        <f t="shared" si="11"/>
        <v>1.708333333333333</v>
      </c>
      <c r="N76" s="14">
        <f t="shared" si="11"/>
        <v>1.4375</v>
      </c>
      <c r="O76" s="14">
        <f t="shared" si="11"/>
        <v>6.1666666666666679</v>
      </c>
      <c r="P76" s="14">
        <f t="shared" si="11"/>
        <v>0.70833333333333393</v>
      </c>
      <c r="Q76" s="14">
        <f t="shared" si="11"/>
        <v>2.333333333333333</v>
      </c>
      <c r="R76" s="14"/>
      <c r="S76" s="14"/>
      <c r="T76" s="13"/>
      <c r="U76" s="13"/>
      <c r="V76" s="13"/>
      <c r="W76" s="13"/>
      <c r="X76" s="13"/>
      <c r="Y76" s="17"/>
      <c r="Z76" s="17"/>
    </row>
    <row r="77" spans="1:26" ht="11.25" customHeight="1" x14ac:dyDescent="0.4">
      <c r="A77" s="5" t="s">
        <v>98</v>
      </c>
      <c r="B77" s="5" t="s">
        <v>114</v>
      </c>
      <c r="C77" s="6">
        <v>12500</v>
      </c>
      <c r="D77" s="6">
        <v>12</v>
      </c>
      <c r="E77" s="6" t="s">
        <v>45</v>
      </c>
      <c r="F77" s="6" t="s">
        <v>10</v>
      </c>
      <c r="G77" s="6" t="s">
        <v>11</v>
      </c>
      <c r="H77" s="6" t="s">
        <v>17</v>
      </c>
      <c r="I77" s="6" t="s">
        <v>16</v>
      </c>
      <c r="J77" s="6" t="s">
        <v>15</v>
      </c>
      <c r="K77" s="6" t="s">
        <v>88</v>
      </c>
      <c r="L77" s="6" t="s">
        <v>115</v>
      </c>
      <c r="M77" s="6" t="s">
        <v>116</v>
      </c>
      <c r="N77" s="6" t="s">
        <v>88</v>
      </c>
      <c r="O77" s="6" t="s">
        <v>92</v>
      </c>
      <c r="P77" s="6" t="s">
        <v>45</v>
      </c>
      <c r="Q77" s="6"/>
      <c r="R77" s="6"/>
      <c r="S77" s="6"/>
      <c r="T77" s="6"/>
      <c r="U77" s="6"/>
      <c r="V77" s="6"/>
      <c r="W77" s="6"/>
      <c r="X77" s="6"/>
      <c r="Y77" s="17"/>
      <c r="Z77" s="17"/>
    </row>
    <row r="78" spans="1:26" ht="11.25" customHeight="1" x14ac:dyDescent="0.4">
      <c r="A78" s="7"/>
      <c r="B78" s="7"/>
      <c r="C78" s="8" t="s">
        <v>20</v>
      </c>
      <c r="D78" s="8"/>
      <c r="E78" s="8" t="s">
        <v>47</v>
      </c>
      <c r="F78" s="8" t="s">
        <v>117</v>
      </c>
      <c r="G78" s="8" t="s">
        <v>25</v>
      </c>
      <c r="H78" s="8" t="s">
        <v>31</v>
      </c>
      <c r="I78" s="8" t="s">
        <v>49</v>
      </c>
      <c r="J78" s="8" t="s">
        <v>103</v>
      </c>
      <c r="K78" s="8" t="s">
        <v>93</v>
      </c>
      <c r="L78" s="8" t="s">
        <v>118</v>
      </c>
      <c r="M78" s="8" t="s">
        <v>119</v>
      </c>
      <c r="N78" s="8" t="s">
        <v>93</v>
      </c>
      <c r="O78" s="8" t="s">
        <v>97</v>
      </c>
      <c r="P78" s="8" t="s">
        <v>47</v>
      </c>
      <c r="Q78" s="8"/>
      <c r="R78" s="8"/>
      <c r="S78" s="8"/>
      <c r="T78" s="8"/>
      <c r="U78" s="8"/>
      <c r="V78" s="8"/>
      <c r="W78" s="8"/>
      <c r="X78" s="8"/>
      <c r="Y78" s="17"/>
      <c r="Z78" s="17"/>
    </row>
    <row r="79" spans="1:26" ht="11.25" customHeight="1" x14ac:dyDescent="0.4">
      <c r="A79" s="7"/>
      <c r="B79" s="7"/>
      <c r="C79" s="9" t="s">
        <v>34</v>
      </c>
      <c r="D79" s="9"/>
      <c r="E79" s="8" t="s">
        <v>42</v>
      </c>
      <c r="F79" s="8" t="s">
        <v>36</v>
      </c>
      <c r="G79" s="8" t="s">
        <v>35</v>
      </c>
      <c r="H79" s="8" t="s">
        <v>41</v>
      </c>
      <c r="I79" s="8" t="s">
        <v>42</v>
      </c>
      <c r="J79" s="8" t="s">
        <v>39</v>
      </c>
      <c r="K79" s="8" t="s">
        <v>39</v>
      </c>
      <c r="L79" s="8" t="s">
        <v>35</v>
      </c>
      <c r="M79" s="8" t="s">
        <v>37</v>
      </c>
      <c r="N79" s="8" t="s">
        <v>36</v>
      </c>
      <c r="O79" s="8" t="s">
        <v>37</v>
      </c>
      <c r="P79" s="8" t="s">
        <v>42</v>
      </c>
      <c r="Q79" s="8"/>
      <c r="R79" s="8"/>
      <c r="S79" s="8"/>
      <c r="T79" s="8"/>
      <c r="U79" s="8"/>
      <c r="V79" s="8"/>
      <c r="W79" s="8"/>
      <c r="X79" s="8"/>
      <c r="Y79" s="17"/>
      <c r="Z79" s="17"/>
    </row>
    <row r="80" spans="1:26" ht="11.25" customHeight="1" x14ac:dyDescent="0.4">
      <c r="A80" s="7"/>
      <c r="B80" s="7"/>
      <c r="C80" s="10"/>
      <c r="D80" s="10"/>
      <c r="E80" s="11">
        <v>0.1875</v>
      </c>
      <c r="F80" s="11">
        <v>0.95833333333333337</v>
      </c>
      <c r="G80" s="11">
        <v>0.58333333333333337</v>
      </c>
      <c r="H80" s="11">
        <v>0.29166666666666669</v>
      </c>
      <c r="I80" s="11">
        <v>0.5</v>
      </c>
      <c r="J80" s="11">
        <v>0.45833333333333331</v>
      </c>
      <c r="K80" s="11">
        <v>0.91666666666666663</v>
      </c>
      <c r="L80" s="11">
        <v>0.91666666666666663</v>
      </c>
      <c r="M80" s="11">
        <v>0.70833333333333337</v>
      </c>
      <c r="N80" s="11">
        <v>0.91666666666666663</v>
      </c>
      <c r="O80" s="11">
        <v>0.25</v>
      </c>
      <c r="P80" s="11">
        <v>0.1875</v>
      </c>
      <c r="Q80" s="8"/>
      <c r="R80" s="8"/>
      <c r="S80" s="8"/>
      <c r="T80" s="8"/>
      <c r="U80" s="8"/>
      <c r="V80" s="8"/>
      <c r="W80" s="8"/>
      <c r="X80" s="8"/>
      <c r="Y80" s="17"/>
      <c r="Z80" s="17"/>
    </row>
    <row r="81" spans="1:26" ht="11.25" customHeight="1" x14ac:dyDescent="0.4">
      <c r="A81" s="7"/>
      <c r="B81" s="7"/>
      <c r="C81" s="9" t="s">
        <v>40</v>
      </c>
      <c r="D81" s="9"/>
      <c r="E81" s="8" t="s">
        <v>42</v>
      </c>
      <c r="F81" s="8" t="s">
        <v>41</v>
      </c>
      <c r="G81" s="8" t="s">
        <v>38</v>
      </c>
      <c r="H81" s="8" t="s">
        <v>37</v>
      </c>
      <c r="I81" s="8" t="s">
        <v>35</v>
      </c>
      <c r="J81" s="8" t="s">
        <v>36</v>
      </c>
      <c r="K81" s="8" t="s">
        <v>36</v>
      </c>
      <c r="L81" s="8" t="s">
        <v>36</v>
      </c>
      <c r="M81" s="8" t="s">
        <v>42</v>
      </c>
      <c r="N81" s="8" t="s">
        <v>41</v>
      </c>
      <c r="O81" s="8" t="s">
        <v>42</v>
      </c>
      <c r="P81" s="8"/>
      <c r="Q81" s="8"/>
      <c r="R81" s="8"/>
      <c r="S81" s="8"/>
      <c r="T81" s="8"/>
      <c r="U81" s="8"/>
      <c r="V81" s="8"/>
      <c r="W81" s="8"/>
      <c r="X81" s="8"/>
      <c r="Y81" s="17"/>
      <c r="Z81" s="17"/>
    </row>
    <row r="82" spans="1:26" ht="11.25" customHeight="1" x14ac:dyDescent="0.4">
      <c r="A82" s="7"/>
      <c r="B82" s="7"/>
      <c r="C82" s="10"/>
      <c r="D82" s="10"/>
      <c r="E82" s="11">
        <v>0.64583333333333337</v>
      </c>
      <c r="F82" s="11">
        <v>0.54166666666666663</v>
      </c>
      <c r="G82" s="11">
        <v>0.58333333333333337</v>
      </c>
      <c r="H82" s="11">
        <v>0.58333333333333337</v>
      </c>
      <c r="I82" s="11">
        <v>0.54166666666666663</v>
      </c>
      <c r="J82" s="11">
        <v>0.375</v>
      </c>
      <c r="K82" s="11">
        <v>0.58333333333333337</v>
      </c>
      <c r="L82" s="11">
        <v>0.91666666666666663</v>
      </c>
      <c r="M82" s="11">
        <v>0.70833333333333337</v>
      </c>
      <c r="N82" s="11">
        <v>0.58333333333333337</v>
      </c>
      <c r="O82" s="11">
        <v>0.33333333333333331</v>
      </c>
      <c r="P82" s="8"/>
      <c r="Q82" s="8"/>
      <c r="R82" s="8"/>
      <c r="S82" s="8"/>
      <c r="T82" s="8"/>
      <c r="U82" s="8"/>
      <c r="V82" s="8"/>
      <c r="W82" s="8"/>
      <c r="X82" s="8"/>
      <c r="Y82" s="17"/>
      <c r="Z82" s="17"/>
    </row>
    <row r="83" spans="1:26" ht="11.25" customHeight="1" thickBot="1" x14ac:dyDescent="0.45">
      <c r="A83" s="12"/>
      <c r="B83" s="12"/>
      <c r="C83" s="13" t="s">
        <v>43</v>
      </c>
      <c r="D83" s="13"/>
      <c r="E83" s="13"/>
      <c r="F83" s="14">
        <f t="shared" ref="F83:O83" si="12">((MATCH(F79,{"MON","TUE","WED","THU","FRI","SAT","SUN"},0)+F80+IF(MATCH(F79,{"MON","TUE","WED","THU","FRI","SAT","SUN"},0)&lt;MATCH(E81,{"MON","TUE","WED","THU","FRI","SAT","SUN"},0),7,0))-(MATCH(E81,{"MON","TUE","WED","THU","FRI","SAT","SUN"},0)+E82))</f>
        <v>4.3125000000000009</v>
      </c>
      <c r="G83" s="14">
        <f t="shared" si="12"/>
        <v>3.0416666666666661</v>
      </c>
      <c r="H83" s="14">
        <f t="shared" si="12"/>
        <v>2.7083333333333335</v>
      </c>
      <c r="I83" s="14">
        <f t="shared" si="12"/>
        <v>0.91666666666666696</v>
      </c>
      <c r="J83" s="14">
        <f t="shared" si="12"/>
        <v>1.916666666666667</v>
      </c>
      <c r="K83" s="14">
        <f t="shared" si="12"/>
        <v>6.5416666666666661</v>
      </c>
      <c r="L83" s="14">
        <f t="shared" si="12"/>
        <v>4.3333333333333339</v>
      </c>
      <c r="M83" s="14">
        <f t="shared" si="12"/>
        <v>1.7916666666666665</v>
      </c>
      <c r="N83" s="14">
        <f t="shared" si="12"/>
        <v>4.208333333333333</v>
      </c>
      <c r="O83" s="14">
        <f t="shared" si="12"/>
        <v>0.66666666666666696</v>
      </c>
      <c r="P83" s="14">
        <f t="array" ref="P83">((MATCH(P79,{"MON","TUE","WED","THU","FRI","SAT","SUN"},0)+P80+IF(MATCH(P79,{"MON","TUE","WED","THU","FRI","SAT","SUN"},0)&lt;MATCH(O81,{"MON","TUE","WED","THU","FRI","SAT","SUN"},0),7,0))-(MATCH(O81,{"MON","TUE","WED","THU","FRI","SAT","SUN"},0)+O82))+7</f>
        <v>6.854166666666667</v>
      </c>
      <c r="Q83" s="14"/>
      <c r="R83" s="14"/>
      <c r="S83" s="14"/>
      <c r="T83" s="13"/>
      <c r="U83" s="13"/>
      <c r="V83" s="13"/>
      <c r="W83" s="13"/>
      <c r="X83" s="13"/>
      <c r="Y83" s="17"/>
      <c r="Z83" s="17"/>
    </row>
    <row r="84" spans="1:26" ht="11.25" customHeight="1" x14ac:dyDescent="0.4">
      <c r="A84" s="7" t="s">
        <v>120</v>
      </c>
      <c r="B84" s="7" t="s">
        <v>121</v>
      </c>
      <c r="C84" s="10">
        <v>8200</v>
      </c>
      <c r="D84" s="10">
        <v>13</v>
      </c>
      <c r="E84" s="10" t="s">
        <v>108</v>
      </c>
      <c r="F84" s="10" t="s">
        <v>10</v>
      </c>
      <c r="G84" s="10" t="s">
        <v>9</v>
      </c>
      <c r="H84" s="10" t="s">
        <v>122</v>
      </c>
      <c r="I84" s="10" t="s">
        <v>123</v>
      </c>
      <c r="J84" s="10" t="s">
        <v>124</v>
      </c>
      <c r="K84" s="10" t="s">
        <v>9</v>
      </c>
      <c r="L84" s="10" t="s">
        <v>108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7"/>
      <c r="Z84" s="17"/>
    </row>
    <row r="85" spans="1:26" ht="11.25" customHeight="1" x14ac:dyDescent="0.4">
      <c r="A85" s="7"/>
      <c r="B85" s="7"/>
      <c r="C85" s="8" t="s">
        <v>20</v>
      </c>
      <c r="D85" s="8"/>
      <c r="E85" s="8" t="s">
        <v>125</v>
      </c>
      <c r="F85" s="8" t="s">
        <v>24</v>
      </c>
      <c r="G85" s="8" t="s">
        <v>23</v>
      </c>
      <c r="H85" s="8" t="s">
        <v>126</v>
      </c>
      <c r="I85" s="8" t="s">
        <v>127</v>
      </c>
      <c r="J85" s="8" t="s">
        <v>128</v>
      </c>
      <c r="K85" s="8" t="s">
        <v>23</v>
      </c>
      <c r="L85" s="8" t="s">
        <v>125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7"/>
      <c r="Z85" s="17"/>
    </row>
    <row r="86" spans="1:26" ht="11.25" customHeight="1" x14ac:dyDescent="0.4">
      <c r="A86" s="7"/>
      <c r="B86" s="7"/>
      <c r="C86" s="9" t="s">
        <v>34</v>
      </c>
      <c r="D86" s="9"/>
      <c r="E86" s="8" t="s">
        <v>42</v>
      </c>
      <c r="F86" s="8" t="s">
        <v>36</v>
      </c>
      <c r="G86" s="8" t="s">
        <v>35</v>
      </c>
      <c r="H86" s="8" t="s">
        <v>41</v>
      </c>
      <c r="I86" s="8" t="s">
        <v>39</v>
      </c>
      <c r="J86" s="8" t="s">
        <v>36</v>
      </c>
      <c r="K86" s="8" t="s">
        <v>39</v>
      </c>
      <c r="L86" s="8" t="s">
        <v>42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7"/>
      <c r="Z86" s="17"/>
    </row>
    <row r="87" spans="1:26" ht="11.25" customHeight="1" x14ac:dyDescent="0.4">
      <c r="A87" s="7"/>
      <c r="B87" s="7"/>
      <c r="C87" s="10"/>
      <c r="D87" s="10"/>
      <c r="E87" s="11">
        <v>0.95833333333333337</v>
      </c>
      <c r="F87" s="11">
        <v>0.70833333333333337</v>
      </c>
      <c r="G87" s="11">
        <v>0.35416666666666669</v>
      </c>
      <c r="H87" s="11">
        <v>0.5</v>
      </c>
      <c r="I87" s="11">
        <v>0.25</v>
      </c>
      <c r="J87" s="11">
        <v>0.29166666666666669</v>
      </c>
      <c r="K87" s="11">
        <v>6.25E-2</v>
      </c>
      <c r="L87" s="11">
        <v>0.95833333333333337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17"/>
      <c r="Z87" s="17"/>
    </row>
    <row r="88" spans="1:26" ht="11.25" customHeight="1" x14ac:dyDescent="0.4">
      <c r="A88" s="7"/>
      <c r="B88" s="7"/>
      <c r="C88" s="9" t="s">
        <v>40</v>
      </c>
      <c r="D88" s="9"/>
      <c r="E88" s="8" t="s">
        <v>38</v>
      </c>
      <c r="F88" s="8" t="s">
        <v>37</v>
      </c>
      <c r="G88" s="8" t="s">
        <v>38</v>
      </c>
      <c r="H88" s="8" t="s">
        <v>42</v>
      </c>
      <c r="I88" s="8" t="s">
        <v>36</v>
      </c>
      <c r="J88" s="8" t="s">
        <v>41</v>
      </c>
      <c r="K88" s="8" t="s">
        <v>36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17"/>
      <c r="Z88" s="17"/>
    </row>
    <row r="89" spans="1:26" ht="11.25" customHeight="1" x14ac:dyDescent="0.4">
      <c r="A89" s="7"/>
      <c r="B89" s="7"/>
      <c r="C89" s="10"/>
      <c r="D89" s="10"/>
      <c r="E89" s="11">
        <v>0.75</v>
      </c>
      <c r="F89" s="11">
        <v>0.5</v>
      </c>
      <c r="G89" s="11">
        <v>0.9375</v>
      </c>
      <c r="H89" s="11">
        <v>0.70833333333333337</v>
      </c>
      <c r="I89" s="11">
        <v>0.95833333333333337</v>
      </c>
      <c r="J89" s="11">
        <v>4.1666666666666664E-2</v>
      </c>
      <c r="K89" s="11">
        <v>0.64583333333333337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17"/>
      <c r="Z89" s="17"/>
    </row>
    <row r="90" spans="1:26" ht="11.25" customHeight="1" thickBot="1" x14ac:dyDescent="0.45">
      <c r="A90" s="7"/>
      <c r="B90" s="7"/>
      <c r="C90" s="13" t="s">
        <v>43</v>
      </c>
      <c r="D90" s="9"/>
      <c r="E90" s="9"/>
      <c r="F90" s="14">
        <f t="shared" ref="F90:I90" si="13">((MATCH(F86,{"MON","TUE","WED","THU","FRI","SAT","SUN"},0)+F87+IF(MATCH(F86,{"MON","TUE","WED","THU","FRI","SAT","SUN"},0)&lt;MATCH(E88,{"MON","TUE","WED","THU","FRI","SAT","SUN"},0),7,0))-(MATCH(E88,{"MON","TUE","WED","THU","FRI","SAT","SUN"},0)+E89))</f>
        <v>1.9583333333333335</v>
      </c>
      <c r="G90" s="14">
        <f t="shared" si="13"/>
        <v>1.854166666666667</v>
      </c>
      <c r="H90" s="14">
        <f t="shared" si="13"/>
        <v>2.5625</v>
      </c>
      <c r="I90" s="14">
        <f t="shared" si="13"/>
        <v>2.541666666666667</v>
      </c>
      <c r="J90" s="14">
        <f t="array" ref="J90">((MATCH(J86,{"MON","TUE","WED","THU","FRI","SAT","SUN"},0)+J87+IF(MATCH(J86,{"MON","TUE","WED","THU","FRI","SAT","SUN"},0)&lt;MATCH(I88,{"MON","TUE","WED","THU","FRI","SAT","SUN"},0),7,0))-(MATCH(I88,{"MON","TUE","WED","THU","FRI","SAT","SUN"},0)+I89))+7</f>
        <v>6.333333333333333</v>
      </c>
      <c r="K90" s="14">
        <f t="shared" ref="K90:L90" si="14">((MATCH(K86,{"MON","TUE","WED","THU","FRI","SAT","SUN"},0)+K87+IF(MATCH(K86,{"MON","TUE","WED","THU","FRI","SAT","SUN"},0)&lt;MATCH(J88,{"MON","TUE","WED","THU","FRI","SAT","SUN"},0),7,0))-(MATCH(J88,{"MON","TUE","WED","THU","FRI","SAT","SUN"},0)+J89))</f>
        <v>5.020833333333333</v>
      </c>
      <c r="L90" s="14">
        <f t="shared" si="14"/>
        <v>3.3124999999999996</v>
      </c>
      <c r="M90" s="14"/>
      <c r="N90" s="14"/>
      <c r="O90" s="14"/>
      <c r="P90" s="14"/>
      <c r="Q90" s="14"/>
      <c r="R90" s="14"/>
      <c r="S90" s="14"/>
      <c r="T90" s="13"/>
      <c r="U90" s="13"/>
      <c r="V90" s="13"/>
      <c r="W90" s="13"/>
      <c r="X90" s="13"/>
      <c r="Y90" s="17"/>
      <c r="Z90" s="17"/>
    </row>
    <row r="91" spans="1:26" ht="11.25" customHeight="1" x14ac:dyDescent="0.4">
      <c r="A91" s="5" t="s">
        <v>120</v>
      </c>
      <c r="B91" s="5" t="s">
        <v>129</v>
      </c>
      <c r="C91" s="6">
        <v>14000</v>
      </c>
      <c r="D91" s="6">
        <v>15</v>
      </c>
      <c r="E91" s="6" t="s">
        <v>52</v>
      </c>
      <c r="F91" s="6" t="s">
        <v>17</v>
      </c>
      <c r="G91" s="6" t="s">
        <v>11</v>
      </c>
      <c r="H91" s="6" t="s">
        <v>9</v>
      </c>
      <c r="I91" s="6" t="s">
        <v>130</v>
      </c>
      <c r="J91" s="6" t="s">
        <v>131</v>
      </c>
      <c r="K91" s="6" t="s">
        <v>123</v>
      </c>
      <c r="L91" s="6" t="s">
        <v>52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17"/>
      <c r="Z91" s="17"/>
    </row>
    <row r="92" spans="1:26" ht="11.25" customHeight="1" x14ac:dyDescent="0.4">
      <c r="A92" s="7"/>
      <c r="B92" s="7"/>
      <c r="C92" s="8" t="s">
        <v>20</v>
      </c>
      <c r="D92" s="8"/>
      <c r="E92" s="8" t="s">
        <v>132</v>
      </c>
      <c r="F92" s="8" t="s">
        <v>133</v>
      </c>
      <c r="G92" s="8" t="s">
        <v>25</v>
      </c>
      <c r="H92" s="8" t="s">
        <v>23</v>
      </c>
      <c r="I92" s="8" t="s">
        <v>134</v>
      </c>
      <c r="J92" s="8" t="s">
        <v>135</v>
      </c>
      <c r="K92" s="8" t="s">
        <v>136</v>
      </c>
      <c r="L92" s="8" t="s">
        <v>132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17"/>
      <c r="Z92" s="17"/>
    </row>
    <row r="93" spans="1:26" ht="11.25" customHeight="1" x14ac:dyDescent="0.4">
      <c r="A93" s="7"/>
      <c r="B93" s="7"/>
      <c r="C93" s="9" t="s">
        <v>34</v>
      </c>
      <c r="D93" s="9"/>
      <c r="E93" s="8" t="s">
        <v>36</v>
      </c>
      <c r="F93" s="8" t="s">
        <v>35</v>
      </c>
      <c r="G93" s="8" t="s">
        <v>42</v>
      </c>
      <c r="H93" s="8" t="s">
        <v>42</v>
      </c>
      <c r="I93" s="8" t="s">
        <v>39</v>
      </c>
      <c r="J93" s="8" t="s">
        <v>39</v>
      </c>
      <c r="K93" s="8" t="s">
        <v>39</v>
      </c>
      <c r="L93" s="8" t="s">
        <v>36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17"/>
      <c r="Z93" s="17"/>
    </row>
    <row r="94" spans="1:26" ht="11.25" customHeight="1" x14ac:dyDescent="0.4">
      <c r="A94" s="7"/>
      <c r="B94" s="7"/>
      <c r="C94" s="10"/>
      <c r="D94" s="10"/>
      <c r="E94" s="11">
        <v>0.70833333333333337</v>
      </c>
      <c r="F94" s="11">
        <v>0.875</v>
      </c>
      <c r="G94" s="11">
        <v>0.91666666666666663</v>
      </c>
      <c r="H94" s="11">
        <v>0.16666666666666666</v>
      </c>
      <c r="I94" s="11">
        <v>0.79166666666666663</v>
      </c>
      <c r="J94" s="11">
        <v>0.58333333333333337</v>
      </c>
      <c r="K94" s="11">
        <v>0.58333333333333337</v>
      </c>
      <c r="L94" s="11">
        <v>0.70833333333333337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17"/>
      <c r="Z94" s="17"/>
    </row>
    <row r="95" spans="1:26" ht="11.25" customHeight="1" x14ac:dyDescent="0.4">
      <c r="A95" s="7"/>
      <c r="B95" s="7"/>
      <c r="C95" s="9" t="s">
        <v>40</v>
      </c>
      <c r="D95" s="9"/>
      <c r="E95" s="8" t="s">
        <v>42</v>
      </c>
      <c r="F95" s="8" t="s">
        <v>36</v>
      </c>
      <c r="G95" s="8" t="s">
        <v>39</v>
      </c>
      <c r="H95" s="8" t="s">
        <v>35</v>
      </c>
      <c r="I95" s="8" t="s">
        <v>37</v>
      </c>
      <c r="J95" s="8" t="s">
        <v>42</v>
      </c>
      <c r="K95" s="8" t="s">
        <v>37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17"/>
      <c r="Z95" s="17"/>
    </row>
    <row r="96" spans="1:26" ht="11.25" customHeight="1" x14ac:dyDescent="0.4">
      <c r="A96" s="7"/>
      <c r="B96" s="7"/>
      <c r="C96" s="10"/>
      <c r="D96" s="10"/>
      <c r="E96" s="11">
        <v>0.33333333333333331</v>
      </c>
      <c r="F96" s="11">
        <v>0.625</v>
      </c>
      <c r="G96" s="11">
        <v>0.16666666666666666</v>
      </c>
      <c r="H96" s="11">
        <v>0.5</v>
      </c>
      <c r="I96" s="11">
        <v>0.79166666666666663</v>
      </c>
      <c r="J96" s="11">
        <v>0</v>
      </c>
      <c r="K96" s="11">
        <v>0.66666666666666663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17"/>
      <c r="Z96" s="17"/>
    </row>
    <row r="97" spans="1:26" ht="11.25" customHeight="1" thickBot="1" x14ac:dyDescent="0.45">
      <c r="A97" s="12"/>
      <c r="B97" s="12"/>
      <c r="C97" s="13" t="s">
        <v>43</v>
      </c>
      <c r="D97" s="13"/>
      <c r="E97" s="13"/>
      <c r="F97" s="14">
        <f t="shared" ref="F97:L97" si="15">((MATCH(F93,{"MON","TUE","WED","THU","FRI","SAT","SUN"},0)+F94+IF(MATCH(F93,{"MON","TUE","WED","THU","FRI","SAT","SUN"},0)&lt;MATCH(E95,{"MON","TUE","WED","THU","FRI","SAT","SUN"},0),7,0))-(MATCH(E95,{"MON","TUE","WED","THU","FRI","SAT","SUN"},0)+E96))</f>
        <v>1.541666666666667</v>
      </c>
      <c r="G97" s="14">
        <f t="shared" si="15"/>
        <v>3.291666666666667</v>
      </c>
      <c r="H97" s="14">
        <f t="shared" si="15"/>
        <v>4</v>
      </c>
      <c r="I97" s="14">
        <f t="shared" si="15"/>
        <v>2.2916666666666661</v>
      </c>
      <c r="J97" s="14">
        <f t="shared" si="15"/>
        <v>3.791666666666667</v>
      </c>
      <c r="K97" s="14">
        <f t="shared" si="15"/>
        <v>3.5833333333333339</v>
      </c>
      <c r="L97" s="14">
        <f t="shared" si="15"/>
        <v>5.041666666666667</v>
      </c>
      <c r="M97" s="14"/>
      <c r="N97" s="14"/>
      <c r="O97" s="14"/>
      <c r="P97" s="14"/>
      <c r="Q97" s="14"/>
      <c r="R97" s="14"/>
      <c r="S97" s="14"/>
      <c r="T97" s="13"/>
      <c r="U97" s="13"/>
      <c r="V97" s="13"/>
      <c r="W97" s="13"/>
      <c r="X97" s="13"/>
      <c r="Y97" s="17"/>
      <c r="Z97" s="17"/>
    </row>
    <row r="98" spans="1:26" ht="11.25" customHeight="1" x14ac:dyDescent="0.4">
      <c r="A98" s="7" t="s">
        <v>120</v>
      </c>
      <c r="B98" s="7" t="s">
        <v>137</v>
      </c>
      <c r="C98" s="10">
        <v>19300</v>
      </c>
      <c r="D98" s="10">
        <v>14</v>
      </c>
      <c r="E98" s="10" t="s">
        <v>16</v>
      </c>
      <c r="F98" s="10" t="s">
        <v>15</v>
      </c>
      <c r="G98" s="10" t="s">
        <v>122</v>
      </c>
      <c r="H98" s="10" t="s">
        <v>123</v>
      </c>
      <c r="I98" s="10" t="s">
        <v>124</v>
      </c>
      <c r="J98" s="10" t="s">
        <v>16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7"/>
      <c r="Z98" s="17"/>
    </row>
    <row r="99" spans="1:26" ht="11.25" customHeight="1" x14ac:dyDescent="0.4">
      <c r="A99" s="7"/>
      <c r="B99" s="7"/>
      <c r="C99" s="8" t="s">
        <v>20</v>
      </c>
      <c r="D99" s="8"/>
      <c r="E99" s="8" t="s">
        <v>49</v>
      </c>
      <c r="F99" s="8" t="s">
        <v>103</v>
      </c>
      <c r="G99" s="8" t="s">
        <v>126</v>
      </c>
      <c r="H99" s="8" t="s">
        <v>136</v>
      </c>
      <c r="I99" s="8" t="s">
        <v>128</v>
      </c>
      <c r="J99" s="8" t="s">
        <v>49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17"/>
      <c r="Z99" s="17"/>
    </row>
    <row r="100" spans="1:26" ht="11.25" customHeight="1" x14ac:dyDescent="0.4">
      <c r="A100" s="7"/>
      <c r="B100" s="7"/>
      <c r="C100" s="9" t="s">
        <v>34</v>
      </c>
      <c r="D100" s="9"/>
      <c r="E100" s="8" t="s">
        <v>38</v>
      </c>
      <c r="F100" s="8" t="s">
        <v>39</v>
      </c>
      <c r="G100" s="8" t="s">
        <v>42</v>
      </c>
      <c r="H100" s="8" t="s">
        <v>42</v>
      </c>
      <c r="I100" s="8" t="s">
        <v>37</v>
      </c>
      <c r="J100" s="8" t="s">
        <v>38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17"/>
      <c r="Z100" s="17"/>
    </row>
    <row r="101" spans="1:26" ht="11.25" customHeight="1" x14ac:dyDescent="0.4">
      <c r="A101" s="7"/>
      <c r="B101" s="7"/>
      <c r="C101" s="10"/>
      <c r="D101" s="10"/>
      <c r="E101" s="11">
        <v>0.70833333333333337</v>
      </c>
      <c r="F101" s="11">
        <v>0.20833333333333334</v>
      </c>
      <c r="G101" s="11">
        <v>0.95833333333333337</v>
      </c>
      <c r="H101" s="11">
        <v>0</v>
      </c>
      <c r="I101" s="11">
        <v>0.58333333333333337</v>
      </c>
      <c r="J101" s="11">
        <v>0.70833333333333337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17"/>
      <c r="Z101" s="17"/>
    </row>
    <row r="102" spans="1:26" ht="11.25" customHeight="1" x14ac:dyDescent="0.4">
      <c r="A102" s="7"/>
      <c r="B102" s="7"/>
      <c r="C102" s="9" t="s">
        <v>40</v>
      </c>
      <c r="D102" s="9"/>
      <c r="E102" s="8" t="s">
        <v>42</v>
      </c>
      <c r="F102" s="8" t="s">
        <v>37</v>
      </c>
      <c r="G102" s="8" t="s">
        <v>41</v>
      </c>
      <c r="H102" s="8" t="s">
        <v>39</v>
      </c>
      <c r="I102" s="8" t="s">
        <v>35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17"/>
      <c r="Z102" s="17"/>
    </row>
    <row r="103" spans="1:26" ht="11.25" customHeight="1" x14ac:dyDescent="0.4">
      <c r="A103" s="7"/>
      <c r="B103" s="7"/>
      <c r="C103" s="10"/>
      <c r="D103" s="10"/>
      <c r="E103" s="11">
        <v>0.5</v>
      </c>
      <c r="F103" s="11">
        <v>0.625</v>
      </c>
      <c r="G103" s="11">
        <v>0.29166666666666669</v>
      </c>
      <c r="H103" s="11">
        <v>0.25</v>
      </c>
      <c r="I103" s="11">
        <v>0.58333333333333337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17"/>
      <c r="Z103" s="17"/>
    </row>
    <row r="104" spans="1:26" ht="11.25" customHeight="1" thickBot="1" x14ac:dyDescent="0.45">
      <c r="A104" s="7"/>
      <c r="B104" s="7"/>
      <c r="C104" s="13" t="s">
        <v>43</v>
      </c>
      <c r="D104" s="9"/>
      <c r="E104" s="9"/>
      <c r="F104" s="14">
        <f t="shared" ref="F104:J104" si="16">((MATCH(F100,{"MON","TUE","WED","THU","FRI","SAT","SUN"},0)+F101+IF(MATCH(F100,{"MON","TUE","WED","THU","FRI","SAT","SUN"},0)&lt;MATCH(E102,{"MON","TUE","WED","THU","FRI","SAT","SUN"},0),7,0))-(MATCH(E102,{"MON","TUE","WED","THU","FRI","SAT","SUN"},0)+E103))</f>
        <v>2.7083333333333339</v>
      </c>
      <c r="G104" s="14">
        <f t="shared" si="16"/>
        <v>1.333333333333333</v>
      </c>
      <c r="H104" s="14">
        <f t="shared" si="16"/>
        <v>1.708333333333333</v>
      </c>
      <c r="I104" s="14">
        <f t="shared" si="16"/>
        <v>3.333333333333333</v>
      </c>
      <c r="J104" s="14">
        <f t="shared" si="16"/>
        <v>1.1250000000000009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3"/>
      <c r="U104" s="13"/>
      <c r="V104" s="13"/>
      <c r="W104" s="13"/>
      <c r="X104" s="13"/>
      <c r="Y104" s="17"/>
      <c r="Z104" s="17"/>
    </row>
    <row r="105" spans="1:26" ht="11.25" customHeight="1" x14ac:dyDescent="0.4">
      <c r="A105" s="5" t="s">
        <v>120</v>
      </c>
      <c r="B105" s="5" t="s">
        <v>138</v>
      </c>
      <c r="C105" s="6">
        <v>12500</v>
      </c>
      <c r="D105" s="6">
        <v>16</v>
      </c>
      <c r="E105" s="6" t="s">
        <v>52</v>
      </c>
      <c r="F105" s="6" t="s">
        <v>16</v>
      </c>
      <c r="G105" s="6" t="s">
        <v>17</v>
      </c>
      <c r="H105" s="6" t="s">
        <v>11</v>
      </c>
      <c r="I105" s="6" t="s">
        <v>9</v>
      </c>
      <c r="J105" s="6" t="s">
        <v>124</v>
      </c>
      <c r="K105" s="6" t="s">
        <v>123</v>
      </c>
      <c r="L105" s="6" t="s">
        <v>122</v>
      </c>
      <c r="M105" s="6" t="s">
        <v>131</v>
      </c>
      <c r="N105" s="6" t="s">
        <v>124</v>
      </c>
      <c r="O105" s="6" t="s">
        <v>9</v>
      </c>
      <c r="P105" s="6" t="s">
        <v>52</v>
      </c>
      <c r="Q105" s="6"/>
      <c r="R105" s="6"/>
      <c r="S105" s="6"/>
      <c r="T105" s="6"/>
      <c r="U105" s="6"/>
      <c r="V105" s="6"/>
      <c r="W105" s="6"/>
      <c r="X105" s="6"/>
      <c r="Y105" s="17"/>
      <c r="Z105" s="17"/>
    </row>
    <row r="106" spans="1:26" ht="11.25" customHeight="1" x14ac:dyDescent="0.4">
      <c r="A106" s="7"/>
      <c r="B106" s="7"/>
      <c r="C106" s="8" t="s">
        <v>20</v>
      </c>
      <c r="D106" s="8"/>
      <c r="E106" s="8" t="s">
        <v>55</v>
      </c>
      <c r="F106" s="8" t="s">
        <v>139</v>
      </c>
      <c r="G106" s="8" t="s">
        <v>140</v>
      </c>
      <c r="H106" s="8" t="s">
        <v>25</v>
      </c>
      <c r="I106" s="8" t="s">
        <v>23</v>
      </c>
      <c r="J106" s="8" t="s">
        <v>141</v>
      </c>
      <c r="K106" s="8" t="s">
        <v>136</v>
      </c>
      <c r="L106" s="8" t="s">
        <v>142</v>
      </c>
      <c r="M106" s="8" t="s">
        <v>143</v>
      </c>
      <c r="N106" s="8" t="s">
        <v>141</v>
      </c>
      <c r="O106" s="8" t="s">
        <v>23</v>
      </c>
      <c r="P106" s="8" t="s">
        <v>55</v>
      </c>
      <c r="Q106" s="8"/>
      <c r="R106" s="8"/>
      <c r="S106" s="8"/>
      <c r="T106" s="8"/>
      <c r="U106" s="8"/>
      <c r="V106" s="8"/>
      <c r="W106" s="8"/>
      <c r="X106" s="8"/>
      <c r="Y106" s="17"/>
      <c r="Z106" s="17"/>
    </row>
    <row r="107" spans="1:26" ht="11.25" customHeight="1" x14ac:dyDescent="0.4">
      <c r="A107" s="7"/>
      <c r="B107" s="7"/>
      <c r="C107" s="9" t="s">
        <v>34</v>
      </c>
      <c r="D107" s="9"/>
      <c r="E107" s="8" t="s">
        <v>36</v>
      </c>
      <c r="F107" s="8" t="s">
        <v>37</v>
      </c>
      <c r="G107" s="8" t="s">
        <v>35</v>
      </c>
      <c r="H107" s="8" t="s">
        <v>37</v>
      </c>
      <c r="I107" s="8" t="s">
        <v>36</v>
      </c>
      <c r="J107" s="8" t="s">
        <v>38</v>
      </c>
      <c r="K107" s="8" t="s">
        <v>41</v>
      </c>
      <c r="L107" s="8" t="s">
        <v>38</v>
      </c>
      <c r="M107" s="8" t="s">
        <v>42</v>
      </c>
      <c r="N107" s="8" t="s">
        <v>39</v>
      </c>
      <c r="O107" s="8" t="s">
        <v>38</v>
      </c>
      <c r="P107" s="8" t="s">
        <v>36</v>
      </c>
      <c r="Q107" s="8"/>
      <c r="R107" s="8"/>
      <c r="S107" s="8"/>
      <c r="T107" s="8"/>
      <c r="U107" s="8"/>
      <c r="V107" s="8"/>
      <c r="W107" s="8"/>
      <c r="X107" s="8"/>
      <c r="Y107" s="17"/>
      <c r="Z107" s="17"/>
    </row>
    <row r="108" spans="1:26" ht="11.25" customHeight="1" x14ac:dyDescent="0.4">
      <c r="A108" s="7"/>
      <c r="B108" s="7"/>
      <c r="C108" s="10"/>
      <c r="D108" s="10"/>
      <c r="E108" s="11">
        <v>0.25</v>
      </c>
      <c r="F108" s="11">
        <v>0.33333333333333331</v>
      </c>
      <c r="G108" s="11">
        <v>4.1666666666666664E-2</v>
      </c>
      <c r="H108" s="11">
        <v>0.58333333333333337</v>
      </c>
      <c r="I108" s="11">
        <v>0.95833333333333337</v>
      </c>
      <c r="J108" s="11">
        <v>0.25</v>
      </c>
      <c r="K108" s="11">
        <v>0.95833333333333337</v>
      </c>
      <c r="L108" s="11">
        <v>0.95833333333333337</v>
      </c>
      <c r="M108" s="11">
        <v>0.25</v>
      </c>
      <c r="N108" s="11">
        <v>0.91666666666666663</v>
      </c>
      <c r="O108" s="11">
        <v>0.25</v>
      </c>
      <c r="P108" s="11">
        <v>0.25</v>
      </c>
      <c r="Q108" s="8"/>
      <c r="R108" s="8"/>
      <c r="S108" s="8"/>
      <c r="T108" s="8"/>
      <c r="U108" s="8"/>
      <c r="V108" s="8"/>
      <c r="W108" s="8"/>
      <c r="X108" s="8"/>
      <c r="Y108" s="17"/>
      <c r="Z108" s="17"/>
    </row>
    <row r="109" spans="1:26" ht="11.25" customHeight="1" x14ac:dyDescent="0.4">
      <c r="A109" s="7"/>
      <c r="B109" s="7"/>
      <c r="C109" s="9" t="s">
        <v>40</v>
      </c>
      <c r="D109" s="9"/>
      <c r="E109" s="8" t="s">
        <v>37</v>
      </c>
      <c r="F109" s="8" t="s">
        <v>42</v>
      </c>
      <c r="G109" s="8" t="s">
        <v>38</v>
      </c>
      <c r="H109" s="8" t="s">
        <v>42</v>
      </c>
      <c r="I109" s="8" t="s">
        <v>37</v>
      </c>
      <c r="J109" s="8" t="s">
        <v>36</v>
      </c>
      <c r="K109" s="8" t="s">
        <v>35</v>
      </c>
      <c r="L109" s="8" t="s">
        <v>36</v>
      </c>
      <c r="M109" s="8" t="s">
        <v>38</v>
      </c>
      <c r="N109" s="8" t="s">
        <v>36</v>
      </c>
      <c r="O109" s="8" t="s">
        <v>36</v>
      </c>
      <c r="P109" s="8"/>
      <c r="Q109" s="8"/>
      <c r="R109" s="8"/>
      <c r="S109" s="8"/>
      <c r="T109" s="8"/>
      <c r="U109" s="8"/>
      <c r="V109" s="8"/>
      <c r="W109" s="8"/>
      <c r="X109" s="8"/>
      <c r="Y109" s="17"/>
      <c r="Z109" s="17"/>
    </row>
    <row r="110" spans="1:26" ht="11.25" customHeight="1" x14ac:dyDescent="0.4">
      <c r="A110" s="7"/>
      <c r="B110" s="7"/>
      <c r="C110" s="10"/>
      <c r="D110" s="10"/>
      <c r="E110" s="11">
        <v>0.25</v>
      </c>
      <c r="F110" s="11">
        <v>0.83333333333333337</v>
      </c>
      <c r="G110" s="11">
        <v>4.1666666666666664E-2</v>
      </c>
      <c r="H110" s="11">
        <v>0.83333333333333337</v>
      </c>
      <c r="I110" s="11">
        <v>0.45833333333333331</v>
      </c>
      <c r="J110" s="11">
        <v>0.25</v>
      </c>
      <c r="K110" s="11">
        <v>0.95833333333333337</v>
      </c>
      <c r="L110" s="11">
        <v>0.95833333333333337</v>
      </c>
      <c r="M110" s="11">
        <v>0.91666666666666663</v>
      </c>
      <c r="N110" s="11">
        <v>0.91666666666666663</v>
      </c>
      <c r="O110" s="11">
        <v>0.25</v>
      </c>
      <c r="P110" s="8"/>
      <c r="Q110" s="8"/>
      <c r="R110" s="8"/>
      <c r="S110" s="8"/>
      <c r="T110" s="8"/>
      <c r="U110" s="8"/>
      <c r="V110" s="8"/>
      <c r="W110" s="8"/>
      <c r="X110" s="8"/>
      <c r="Y110" s="17"/>
      <c r="Z110" s="17"/>
    </row>
    <row r="111" spans="1:26" ht="11.25" customHeight="1" thickBot="1" x14ac:dyDescent="0.45">
      <c r="A111" s="12"/>
      <c r="B111" s="12"/>
      <c r="C111" s="13" t="s">
        <v>43</v>
      </c>
      <c r="D111" s="13"/>
      <c r="E111" s="13"/>
      <c r="F111" s="14">
        <f t="shared" ref="F111:P111" si="17">((MATCH(F107,{"MON","TUE","WED","THU","FRI","SAT","SUN"},0)+F108+IF(MATCH(F107,{"MON","TUE","WED","THU","FRI","SAT","SUN"},0)&lt;MATCH(E109,{"MON","TUE","WED","THU","FRI","SAT","SUN"},0),7,0))-(MATCH(E109,{"MON","TUE","WED","THU","FRI","SAT","SUN"},0)+E110))</f>
        <v>8.3333333333333037E-2</v>
      </c>
      <c r="G111" s="14">
        <f t="shared" si="17"/>
        <v>0.20833333333333393</v>
      </c>
      <c r="H111" s="14">
        <f t="shared" si="17"/>
        <v>4.5416666666666661</v>
      </c>
      <c r="I111" s="14">
        <f t="shared" si="17"/>
        <v>4.1250000000000009</v>
      </c>
      <c r="J111" s="14">
        <f t="shared" si="17"/>
        <v>2.791666666666667</v>
      </c>
      <c r="K111" s="14">
        <f t="shared" si="17"/>
        <v>1.708333333333333</v>
      </c>
      <c r="L111" s="14">
        <f t="shared" si="17"/>
        <v>1.0000000000000009</v>
      </c>
      <c r="M111" s="14">
        <f t="shared" si="17"/>
        <v>2.2916666666666665</v>
      </c>
      <c r="N111" s="14">
        <f t="shared" si="17"/>
        <v>1</v>
      </c>
      <c r="O111" s="14">
        <f t="shared" si="17"/>
        <v>4.3333333333333339</v>
      </c>
      <c r="P111" s="14">
        <f t="shared" si="17"/>
        <v>0</v>
      </c>
      <c r="Q111" s="14"/>
      <c r="R111" s="14"/>
      <c r="S111" s="14"/>
      <c r="T111" s="13"/>
      <c r="U111" s="13"/>
      <c r="V111" s="13"/>
      <c r="W111" s="13"/>
      <c r="X111" s="13"/>
      <c r="Y111" s="17"/>
      <c r="Z111" s="17"/>
    </row>
    <row r="112" spans="1:26" ht="11.25" customHeight="1" x14ac:dyDescent="0.4">
      <c r="A112" s="7" t="s">
        <v>120</v>
      </c>
      <c r="B112" s="7" t="s">
        <v>144</v>
      </c>
      <c r="C112" s="10">
        <v>10000</v>
      </c>
      <c r="D112" s="10">
        <v>12</v>
      </c>
      <c r="E112" s="10" t="s">
        <v>15</v>
      </c>
      <c r="F112" s="10" t="s">
        <v>17</v>
      </c>
      <c r="G112" s="10" t="s">
        <v>16</v>
      </c>
      <c r="H112" s="10" t="s">
        <v>63</v>
      </c>
      <c r="I112" s="10" t="s">
        <v>11</v>
      </c>
      <c r="J112" s="10" t="s">
        <v>9</v>
      </c>
      <c r="K112" s="10" t="s">
        <v>130</v>
      </c>
      <c r="L112" s="10" t="s">
        <v>131</v>
      </c>
      <c r="M112" s="10" t="s">
        <v>131</v>
      </c>
      <c r="N112" s="10" t="s">
        <v>123</v>
      </c>
      <c r="O112" s="10" t="s">
        <v>130</v>
      </c>
      <c r="P112" s="10" t="s">
        <v>18</v>
      </c>
      <c r="Q112" s="10" t="s">
        <v>63</v>
      </c>
      <c r="R112" s="10" t="s">
        <v>15</v>
      </c>
      <c r="S112" s="10"/>
      <c r="T112" s="10"/>
      <c r="U112" s="10"/>
      <c r="V112" s="10"/>
      <c r="W112" s="10"/>
      <c r="X112" s="10"/>
      <c r="Y112" s="17"/>
      <c r="Z112" s="17"/>
    </row>
    <row r="113" spans="1:26" ht="11.25" customHeight="1" x14ac:dyDescent="0.4">
      <c r="A113" s="7"/>
      <c r="B113" s="7"/>
      <c r="C113" s="8" t="s">
        <v>20</v>
      </c>
      <c r="D113" s="8"/>
      <c r="E113" s="8" t="s">
        <v>145</v>
      </c>
      <c r="F113" s="8" t="s">
        <v>140</v>
      </c>
      <c r="G113" s="8" t="s">
        <v>139</v>
      </c>
      <c r="H113" s="8" t="s">
        <v>146</v>
      </c>
      <c r="I113" s="8" t="s">
        <v>25</v>
      </c>
      <c r="J113" s="8" t="s">
        <v>23</v>
      </c>
      <c r="K113" s="8" t="s">
        <v>134</v>
      </c>
      <c r="L113" s="8" t="s">
        <v>147</v>
      </c>
      <c r="M113" s="8" t="s">
        <v>143</v>
      </c>
      <c r="N113" s="8" t="s">
        <v>136</v>
      </c>
      <c r="O113" s="8" t="s">
        <v>134</v>
      </c>
      <c r="P113" s="8" t="s">
        <v>148</v>
      </c>
      <c r="Q113" s="8" t="s">
        <v>146</v>
      </c>
      <c r="R113" s="8" t="s">
        <v>145</v>
      </c>
      <c r="S113" s="8"/>
      <c r="T113" s="8"/>
      <c r="U113" s="8"/>
      <c r="V113" s="8"/>
      <c r="W113" s="8"/>
      <c r="X113" s="8"/>
      <c r="Y113" s="17"/>
      <c r="Z113" s="17"/>
    </row>
    <row r="114" spans="1:26" ht="11.25" customHeight="1" x14ac:dyDescent="0.4">
      <c r="A114" s="7"/>
      <c r="B114" s="7"/>
      <c r="C114" s="9" t="s">
        <v>34</v>
      </c>
      <c r="D114" s="9"/>
      <c r="E114" s="8" t="s">
        <v>37</v>
      </c>
      <c r="F114" s="8" t="s">
        <v>39</v>
      </c>
      <c r="G114" s="8" t="s">
        <v>42</v>
      </c>
      <c r="H114" s="8" t="s">
        <v>39</v>
      </c>
      <c r="I114" s="8" t="s">
        <v>37</v>
      </c>
      <c r="J114" s="8" t="s">
        <v>36</v>
      </c>
      <c r="K114" s="8" t="s">
        <v>42</v>
      </c>
      <c r="L114" s="8" t="s">
        <v>39</v>
      </c>
      <c r="M114" s="8" t="s">
        <v>36</v>
      </c>
      <c r="N114" s="8" t="s">
        <v>35</v>
      </c>
      <c r="O114" s="8" t="s">
        <v>41</v>
      </c>
      <c r="P114" s="8" t="s">
        <v>35</v>
      </c>
      <c r="Q114" s="8" t="s">
        <v>39</v>
      </c>
      <c r="R114" s="8" t="s">
        <v>37</v>
      </c>
      <c r="S114" s="8"/>
      <c r="T114" s="8"/>
      <c r="U114" s="8"/>
      <c r="V114" s="8"/>
      <c r="W114" s="8"/>
      <c r="X114" s="8"/>
      <c r="Y114" s="17"/>
      <c r="Z114" s="17"/>
    </row>
    <row r="115" spans="1:26" ht="11.25" customHeight="1" x14ac:dyDescent="0.4">
      <c r="A115" s="7"/>
      <c r="B115" s="7"/>
      <c r="C115" s="10"/>
      <c r="D115" s="10"/>
      <c r="E115" s="11">
        <v>0.79166666666666663</v>
      </c>
      <c r="F115" s="11">
        <v>0.83333333333333337</v>
      </c>
      <c r="G115" s="11">
        <v>0.91666666666666663</v>
      </c>
      <c r="H115" s="11">
        <v>0.75</v>
      </c>
      <c r="I115" s="11">
        <v>4.1666666666666664E-2</v>
      </c>
      <c r="J115" s="11">
        <v>0.33333333333333331</v>
      </c>
      <c r="K115" s="11">
        <v>0.29166666666666669</v>
      </c>
      <c r="L115" s="11">
        <v>0.25</v>
      </c>
      <c r="M115" s="11">
        <v>6</v>
      </c>
      <c r="N115" s="11">
        <v>0.625</v>
      </c>
      <c r="O115" s="11">
        <v>0.79166666666666663</v>
      </c>
      <c r="P115" s="11">
        <v>0.25</v>
      </c>
      <c r="Q115" s="11">
        <v>0.25</v>
      </c>
      <c r="R115" s="11">
        <v>0.79166666666666663</v>
      </c>
      <c r="S115" s="8"/>
      <c r="T115" s="8"/>
      <c r="U115" s="8"/>
      <c r="V115" s="8"/>
      <c r="W115" s="8"/>
      <c r="X115" s="8"/>
      <c r="Y115" s="17"/>
      <c r="Z115" s="17"/>
    </row>
    <row r="116" spans="1:26" ht="11.25" customHeight="1" x14ac:dyDescent="0.4">
      <c r="A116" s="7"/>
      <c r="B116" s="7"/>
      <c r="C116" s="9" t="s">
        <v>40</v>
      </c>
      <c r="D116" s="9"/>
      <c r="E116" s="8" t="s">
        <v>35</v>
      </c>
      <c r="F116" s="8" t="s">
        <v>41</v>
      </c>
      <c r="G116" s="8" t="s">
        <v>35</v>
      </c>
      <c r="H116" s="8" t="s">
        <v>36</v>
      </c>
      <c r="I116" s="8" t="s">
        <v>42</v>
      </c>
      <c r="J116" s="8" t="s">
        <v>37</v>
      </c>
      <c r="K116" s="8" t="s">
        <v>35</v>
      </c>
      <c r="L116" s="8" t="s">
        <v>36</v>
      </c>
      <c r="M116" s="8" t="s">
        <v>41</v>
      </c>
      <c r="N116" s="8" t="s">
        <v>38</v>
      </c>
      <c r="O116" s="8" t="s">
        <v>35</v>
      </c>
      <c r="P116" s="8" t="s">
        <v>38</v>
      </c>
      <c r="Q116" s="8" t="s">
        <v>39</v>
      </c>
      <c r="R116" s="8"/>
      <c r="S116" s="8"/>
      <c r="T116" s="8"/>
      <c r="U116" s="8"/>
      <c r="V116" s="8"/>
      <c r="W116" s="8"/>
      <c r="X116" s="8"/>
      <c r="Y116" s="17"/>
      <c r="Z116" s="17"/>
    </row>
    <row r="117" spans="1:26" ht="11.25" customHeight="1" x14ac:dyDescent="0.4">
      <c r="A117" s="7"/>
      <c r="B117" s="7"/>
      <c r="C117" s="10"/>
      <c r="D117" s="10"/>
      <c r="E117" s="11">
        <v>0.29166666666666669</v>
      </c>
      <c r="F117" s="11">
        <v>0.33333333333333331</v>
      </c>
      <c r="G117" s="11">
        <v>0.91666666666666663</v>
      </c>
      <c r="H117" s="11">
        <v>0.75</v>
      </c>
      <c r="I117" s="11">
        <v>4.1666666666666664E-2</v>
      </c>
      <c r="J117" s="11">
        <v>0.33333333333333331</v>
      </c>
      <c r="K117" s="11">
        <v>0.79166666666666663</v>
      </c>
      <c r="L117" s="11">
        <v>1</v>
      </c>
      <c r="M117" s="11">
        <v>0.25</v>
      </c>
      <c r="N117" s="11">
        <v>0.625</v>
      </c>
      <c r="O117" s="11">
        <v>0.79166666666666663</v>
      </c>
      <c r="P117" s="11">
        <v>0.25</v>
      </c>
      <c r="Q117" s="11">
        <v>0.95833333333333337</v>
      </c>
      <c r="R117" s="8"/>
      <c r="S117" s="8"/>
      <c r="T117" s="8"/>
      <c r="U117" s="8"/>
      <c r="V117" s="8"/>
      <c r="W117" s="8"/>
      <c r="X117" s="8"/>
      <c r="Y117" s="17"/>
      <c r="Z117" s="17"/>
    </row>
    <row r="118" spans="1:26" ht="11.25" customHeight="1" thickBot="1" x14ac:dyDescent="0.45">
      <c r="A118" s="7"/>
      <c r="B118" s="7"/>
      <c r="C118" s="13" t="s">
        <v>43</v>
      </c>
      <c r="D118" s="9"/>
      <c r="E118" s="9"/>
      <c r="F118" s="14">
        <f t="shared" ref="F118:O118" si="18">((MATCH(F114,{"MON","TUE","WED","THU","FRI","SAT","SUN"},0)+F115+IF(MATCH(F114,{"MON","TUE","WED","THU","FRI","SAT","SUN"},0)&lt;MATCH(E116,{"MON","TUE","WED","THU","FRI","SAT","SUN"},0),7,0))-(MATCH(E116,{"MON","TUE","WED","THU","FRI","SAT","SUN"},0)+E117))</f>
        <v>2.541666666666667</v>
      </c>
      <c r="G118" s="14">
        <f t="shared" si="18"/>
        <v>2.5833333333333339</v>
      </c>
      <c r="H118" s="14">
        <f t="shared" si="18"/>
        <v>1.833333333333333</v>
      </c>
      <c r="I118" s="14">
        <f t="shared" si="18"/>
        <v>1.291666666666667</v>
      </c>
      <c r="J118" s="14">
        <f t="shared" si="18"/>
        <v>4.291666666666667</v>
      </c>
      <c r="K118" s="14">
        <f t="shared" si="18"/>
        <v>0.95833333333333393</v>
      </c>
      <c r="L118" s="14">
        <f t="shared" si="18"/>
        <v>1.458333333333333</v>
      </c>
      <c r="M118" s="14">
        <f t="shared" si="18"/>
        <v>5</v>
      </c>
      <c r="N118" s="14">
        <f t="shared" si="18"/>
        <v>3.375</v>
      </c>
      <c r="O118" s="14">
        <f t="shared" si="18"/>
        <v>3.166666666666667</v>
      </c>
      <c r="P118" s="14">
        <f t="array" ref="P118">((MATCH(P114,{"MON","TUE","WED","THU","FRI","SAT","SUN"},0)+P115+IF(MATCH(P114,{"MON","TUE","WED","THU","FRI","SAT","SUN"},0)&lt;MATCH(O116,{"MON","TUE","WED","THU","FRI","SAT","SUN"},0),7,0))-(MATCH(O116,{"MON","TUE","WED","THU","FRI","SAT","SUN"},0)+O117))+7</f>
        <v>6.458333333333333</v>
      </c>
      <c r="Q118" s="14">
        <f t="shared" ref="Q118:R118" si="19">((MATCH(Q114,{"MON","TUE","WED","THU","FRI","SAT","SUN"},0)+Q115+IF(MATCH(Q114,{"MON","TUE","WED","THU","FRI","SAT","SUN"},0)&lt;MATCH(P116,{"MON","TUE","WED","THU","FRI","SAT","SUN"},0),7,0))-(MATCH(P116,{"MON","TUE","WED","THU","FRI","SAT","SUN"},0)+P117))</f>
        <v>1</v>
      </c>
      <c r="R118" s="14">
        <f t="shared" si="19"/>
        <v>2.8333333333333335</v>
      </c>
      <c r="S118" s="14"/>
      <c r="T118" s="13"/>
      <c r="U118" s="13"/>
      <c r="V118" s="13"/>
      <c r="W118" s="13"/>
      <c r="X118" s="13"/>
      <c r="Y118" s="17"/>
      <c r="Z118" s="17"/>
    </row>
    <row r="119" spans="1:26" ht="11.25" customHeight="1" x14ac:dyDescent="0.4">
      <c r="A119" s="5" t="s">
        <v>149</v>
      </c>
      <c r="B119" s="5" t="s">
        <v>150</v>
      </c>
      <c r="C119" s="6">
        <v>12000</v>
      </c>
      <c r="D119" s="6">
        <v>11</v>
      </c>
      <c r="E119" s="6" t="s">
        <v>52</v>
      </c>
      <c r="F119" s="6" t="s">
        <v>15</v>
      </c>
      <c r="G119" s="6" t="s">
        <v>16</v>
      </c>
      <c r="H119" s="6" t="s">
        <v>17</v>
      </c>
      <c r="I119" s="6" t="s">
        <v>18</v>
      </c>
      <c r="J119" s="6" t="s">
        <v>9</v>
      </c>
      <c r="K119" s="6" t="s">
        <v>151</v>
      </c>
      <c r="L119" s="6" t="s">
        <v>152</v>
      </c>
      <c r="M119" s="6" t="s">
        <v>153</v>
      </c>
      <c r="N119" s="6" t="s">
        <v>154</v>
      </c>
      <c r="O119" s="6" t="s">
        <v>155</v>
      </c>
      <c r="P119" s="6" t="s">
        <v>156</v>
      </c>
      <c r="Q119" s="6" t="s">
        <v>153</v>
      </c>
      <c r="R119" s="6" t="s">
        <v>152</v>
      </c>
      <c r="S119" s="6" t="s">
        <v>151</v>
      </c>
      <c r="T119" s="6" t="s">
        <v>9</v>
      </c>
      <c r="U119" s="6" t="s">
        <v>157</v>
      </c>
      <c r="V119" s="6" t="s">
        <v>52</v>
      </c>
      <c r="W119" s="6"/>
      <c r="X119" s="6"/>
      <c r="Y119" s="17"/>
      <c r="Z119" s="17"/>
    </row>
    <row r="120" spans="1:26" ht="11.25" customHeight="1" x14ac:dyDescent="0.4">
      <c r="A120" s="7"/>
      <c r="B120" s="7"/>
      <c r="C120" s="8" t="s">
        <v>20</v>
      </c>
      <c r="D120" s="8"/>
      <c r="E120" s="8" t="s">
        <v>158</v>
      </c>
      <c r="F120" s="8" t="s">
        <v>103</v>
      </c>
      <c r="G120" s="8" t="s">
        <v>49</v>
      </c>
      <c r="H120" s="8" t="s">
        <v>31</v>
      </c>
      <c r="I120" s="8" t="s">
        <v>148</v>
      </c>
      <c r="J120" s="8" t="s">
        <v>23</v>
      </c>
      <c r="K120" s="8" t="s">
        <v>159</v>
      </c>
      <c r="L120" s="8" t="s">
        <v>160</v>
      </c>
      <c r="M120" s="8" t="s">
        <v>161</v>
      </c>
      <c r="N120" s="8" t="s">
        <v>162</v>
      </c>
      <c r="O120" s="8" t="s">
        <v>163</v>
      </c>
      <c r="P120" s="8" t="s">
        <v>164</v>
      </c>
      <c r="Q120" s="8" t="s">
        <v>161</v>
      </c>
      <c r="R120" s="8" t="s">
        <v>165</v>
      </c>
      <c r="S120" s="8" t="s">
        <v>159</v>
      </c>
      <c r="T120" s="8" t="s">
        <v>23</v>
      </c>
      <c r="U120" s="8" t="s">
        <v>166</v>
      </c>
      <c r="V120" s="8" t="s">
        <v>158</v>
      </c>
      <c r="W120" s="8"/>
      <c r="X120" s="8"/>
      <c r="Y120" s="17"/>
      <c r="Z120" s="17"/>
    </row>
    <row r="121" spans="1:26" ht="11.25" customHeight="1" x14ac:dyDescent="0.4">
      <c r="A121" s="7"/>
      <c r="B121" s="7"/>
      <c r="C121" s="9" t="s">
        <v>34</v>
      </c>
      <c r="D121" s="9"/>
      <c r="E121" s="8" t="s">
        <v>39</v>
      </c>
      <c r="F121" s="8" t="s">
        <v>37</v>
      </c>
      <c r="G121" s="8" t="s">
        <v>38</v>
      </c>
      <c r="H121" s="8" t="s">
        <v>39</v>
      </c>
      <c r="I121" s="8" t="s">
        <v>42</v>
      </c>
      <c r="J121" s="8" t="s">
        <v>36</v>
      </c>
      <c r="K121" s="8" t="s">
        <v>39</v>
      </c>
      <c r="L121" s="8" t="s">
        <v>41</v>
      </c>
      <c r="M121" s="8" t="s">
        <v>37</v>
      </c>
      <c r="N121" s="8" t="s">
        <v>41</v>
      </c>
      <c r="O121" s="8" t="s">
        <v>42</v>
      </c>
      <c r="P121" s="8" t="s">
        <v>41</v>
      </c>
      <c r="Q121" s="8" t="s">
        <v>41</v>
      </c>
      <c r="R121" s="8" t="s">
        <v>37</v>
      </c>
      <c r="S121" s="8" t="s">
        <v>38</v>
      </c>
      <c r="T121" s="8" t="s">
        <v>35</v>
      </c>
      <c r="U121" s="8" t="s">
        <v>37</v>
      </c>
      <c r="V121" s="8" t="s">
        <v>39</v>
      </c>
      <c r="W121" s="8"/>
      <c r="X121" s="8"/>
      <c r="Y121" s="17"/>
      <c r="Z121" s="17"/>
    </row>
    <row r="122" spans="1:26" ht="11.25" customHeight="1" x14ac:dyDescent="0.4">
      <c r="A122" s="7"/>
      <c r="B122" s="7"/>
      <c r="C122" s="10"/>
      <c r="D122" s="10"/>
      <c r="E122" s="11">
        <v>0.91666666666666663</v>
      </c>
      <c r="F122" s="11">
        <v>0.83333333333333337</v>
      </c>
      <c r="G122" s="11">
        <v>0.20833333333333334</v>
      </c>
      <c r="H122" s="11">
        <v>0.875</v>
      </c>
      <c r="I122" s="11">
        <v>0</v>
      </c>
      <c r="J122" s="11">
        <v>0.58333333333333337</v>
      </c>
      <c r="K122" s="11">
        <v>8.3333333333333329E-2</v>
      </c>
      <c r="L122" s="11">
        <v>0.91666666666666663</v>
      </c>
      <c r="M122" s="11">
        <v>0.875</v>
      </c>
      <c r="N122" s="11">
        <v>0.29166666666666669</v>
      </c>
      <c r="O122" s="11">
        <v>0.83333333333333337</v>
      </c>
      <c r="P122" s="11">
        <v>0.75</v>
      </c>
      <c r="Q122" s="11">
        <v>0.16666666666666666</v>
      </c>
      <c r="R122" s="11">
        <v>0.91666666666666663</v>
      </c>
      <c r="S122" s="11">
        <v>0.54166666666666663</v>
      </c>
      <c r="T122" s="11">
        <v>0</v>
      </c>
      <c r="U122" s="11">
        <v>0.25</v>
      </c>
      <c r="V122" s="11">
        <v>0.91666666666666663</v>
      </c>
      <c r="W122" s="8"/>
      <c r="X122" s="8"/>
      <c r="Y122" s="17"/>
      <c r="Z122" s="17"/>
    </row>
    <row r="123" spans="1:26" ht="11.25" customHeight="1" x14ac:dyDescent="0.4">
      <c r="A123" s="7"/>
      <c r="B123" s="7"/>
      <c r="C123" s="9" t="s">
        <v>40</v>
      </c>
      <c r="D123" s="9"/>
      <c r="E123" s="8" t="s">
        <v>41</v>
      </c>
      <c r="F123" s="8" t="s">
        <v>42</v>
      </c>
      <c r="G123" s="8" t="s">
        <v>39</v>
      </c>
      <c r="H123" s="8" t="s">
        <v>36</v>
      </c>
      <c r="I123" s="8" t="s">
        <v>42</v>
      </c>
      <c r="J123" s="8" t="s">
        <v>41</v>
      </c>
      <c r="K123" s="8" t="s">
        <v>39</v>
      </c>
      <c r="L123" s="8" t="s">
        <v>37</v>
      </c>
      <c r="M123" s="8" t="s">
        <v>35</v>
      </c>
      <c r="N123" s="8" t="s">
        <v>42</v>
      </c>
      <c r="O123" s="8" t="s">
        <v>39</v>
      </c>
      <c r="P123" s="8" t="s">
        <v>42</v>
      </c>
      <c r="Q123" s="8" t="s">
        <v>37</v>
      </c>
      <c r="R123" s="8" t="s">
        <v>42</v>
      </c>
      <c r="S123" s="8" t="s">
        <v>39</v>
      </c>
      <c r="T123" s="8" t="s">
        <v>38</v>
      </c>
      <c r="U123" s="8" t="s">
        <v>37</v>
      </c>
      <c r="V123" s="8"/>
      <c r="W123" s="8"/>
      <c r="X123" s="8"/>
      <c r="Y123" s="17"/>
      <c r="Z123" s="17"/>
    </row>
    <row r="124" spans="1:26" ht="11.25" customHeight="1" x14ac:dyDescent="0.4">
      <c r="A124" s="7"/>
      <c r="B124" s="7"/>
      <c r="C124" s="10"/>
      <c r="D124" s="10"/>
      <c r="E124" s="11">
        <v>0</v>
      </c>
      <c r="F124" s="11">
        <v>0.95833333333333337</v>
      </c>
      <c r="G124" s="11">
        <v>0.25</v>
      </c>
      <c r="H124" s="11">
        <v>0.70833333333333337</v>
      </c>
      <c r="I124" s="11">
        <v>0.70833333333333337</v>
      </c>
      <c r="J124" s="11">
        <v>0.66666666666666663</v>
      </c>
      <c r="K124" s="11">
        <v>0.79166666666666663</v>
      </c>
      <c r="L124" s="11">
        <v>0.66666666666666663</v>
      </c>
      <c r="M124" s="11">
        <v>0.375</v>
      </c>
      <c r="N124" s="11">
        <v>0.29166666666666669</v>
      </c>
      <c r="O124" s="11">
        <v>0.20833333333333334</v>
      </c>
      <c r="P124" s="11">
        <v>0.875</v>
      </c>
      <c r="Q124" s="11">
        <v>0.33333333333333331</v>
      </c>
      <c r="R124" s="11">
        <v>0.66666666666666663</v>
      </c>
      <c r="S124" s="11">
        <v>0</v>
      </c>
      <c r="T124" s="11">
        <v>0.29166666666666669</v>
      </c>
      <c r="U124" s="11">
        <v>0.79166666666666663</v>
      </c>
      <c r="V124" s="8"/>
      <c r="W124" s="8"/>
      <c r="X124" s="8"/>
      <c r="Y124" s="17"/>
      <c r="Z124" s="17"/>
    </row>
    <row r="125" spans="1:26" ht="11.25" customHeight="1" thickBot="1" x14ac:dyDescent="0.45">
      <c r="A125" s="12"/>
      <c r="B125" s="12"/>
      <c r="C125" s="13" t="s">
        <v>43</v>
      </c>
      <c r="D125" s="13"/>
      <c r="E125" s="13"/>
      <c r="F125" s="14">
        <f t="shared" ref="F125:V125" si="20">((MATCH(F121,{"MON","TUE","WED","THU","FRI","SAT","SUN"},0)+F122+IF(MATCH(F121,{"MON","TUE","WED","THU","FRI","SAT","SUN"},0)&lt;MATCH(E123,{"MON","TUE","WED","THU","FRI","SAT","SUN"},0),7,0))-(MATCH(E123,{"MON","TUE","WED","THU","FRI","SAT","SUN"},0)+E124))</f>
        <v>1.833333333333333</v>
      </c>
      <c r="G125" s="14">
        <f t="shared" si="20"/>
        <v>1.2500000000000009</v>
      </c>
      <c r="H125" s="14">
        <f t="shared" si="20"/>
        <v>0.625</v>
      </c>
      <c r="I125" s="14">
        <f t="shared" si="20"/>
        <v>2.2916666666666665</v>
      </c>
      <c r="J125" s="14">
        <f t="shared" si="20"/>
        <v>3.8750000000000009</v>
      </c>
      <c r="K125" s="14">
        <f t="shared" si="20"/>
        <v>4.416666666666667</v>
      </c>
      <c r="L125" s="14">
        <f t="shared" si="20"/>
        <v>2.1250000000000004</v>
      </c>
      <c r="M125" s="14">
        <f t="shared" si="20"/>
        <v>0.20833333333333304</v>
      </c>
      <c r="N125" s="14">
        <f t="shared" si="20"/>
        <v>3.9166666666666679</v>
      </c>
      <c r="O125" s="14">
        <f t="shared" si="20"/>
        <v>0.54166666666666607</v>
      </c>
      <c r="P125" s="14">
        <f t="shared" si="20"/>
        <v>2.5416666666666665</v>
      </c>
      <c r="Q125" s="14">
        <f t="shared" si="20"/>
        <v>4.2916666666666679</v>
      </c>
      <c r="R125" s="14">
        <f t="shared" si="20"/>
        <v>0.58333333333333393</v>
      </c>
      <c r="S125" s="14">
        <f t="shared" si="20"/>
        <v>1.8749999999999991</v>
      </c>
      <c r="T125" s="14">
        <f t="shared" si="20"/>
        <v>5</v>
      </c>
      <c r="U125" s="14">
        <f t="shared" si="20"/>
        <v>3.958333333333333</v>
      </c>
      <c r="V125" s="14">
        <f t="shared" si="20"/>
        <v>4.1249999999999991</v>
      </c>
      <c r="W125" s="13"/>
      <c r="X125" s="13"/>
      <c r="Y125" s="17"/>
      <c r="Z125" s="17"/>
    </row>
    <row r="126" spans="1:26" ht="11.25" customHeight="1" x14ac:dyDescent="0.4">
      <c r="A126" s="5" t="s">
        <v>149</v>
      </c>
      <c r="B126" s="7" t="s">
        <v>167</v>
      </c>
      <c r="C126" s="10">
        <v>10000</v>
      </c>
      <c r="D126" s="10">
        <v>15</v>
      </c>
      <c r="E126" s="10" t="s">
        <v>15</v>
      </c>
      <c r="F126" s="10" t="s">
        <v>16</v>
      </c>
      <c r="G126" s="10" t="s">
        <v>17</v>
      </c>
      <c r="H126" s="10" t="s">
        <v>45</v>
      </c>
      <c r="I126" s="10" t="s">
        <v>18</v>
      </c>
      <c r="J126" s="10" t="s">
        <v>9</v>
      </c>
      <c r="K126" s="10" t="s">
        <v>168</v>
      </c>
      <c r="L126" s="10" t="s">
        <v>155</v>
      </c>
      <c r="M126" s="10" t="s">
        <v>154</v>
      </c>
      <c r="N126" s="10" t="s">
        <v>156</v>
      </c>
      <c r="O126" s="10" t="s">
        <v>169</v>
      </c>
      <c r="P126" s="10" t="s">
        <v>170</v>
      </c>
      <c r="Q126" s="10" t="s">
        <v>9</v>
      </c>
      <c r="R126" s="10" t="s">
        <v>15</v>
      </c>
      <c r="S126" s="10"/>
      <c r="T126" s="10"/>
      <c r="U126" s="10"/>
      <c r="V126" s="10"/>
      <c r="W126" s="10"/>
      <c r="X126" s="10"/>
      <c r="Y126" s="17"/>
      <c r="Z126" s="17"/>
    </row>
    <row r="127" spans="1:26" ht="11.25" customHeight="1" x14ac:dyDescent="0.4">
      <c r="A127" s="7"/>
      <c r="B127" s="7"/>
      <c r="C127" s="8" t="s">
        <v>20</v>
      </c>
      <c r="D127" s="8"/>
      <c r="E127" s="8" t="s">
        <v>103</v>
      </c>
      <c r="F127" s="8" t="s">
        <v>49</v>
      </c>
      <c r="G127" s="8" t="s">
        <v>133</v>
      </c>
      <c r="H127" s="8" t="s">
        <v>47</v>
      </c>
      <c r="I127" s="8" t="s">
        <v>32</v>
      </c>
      <c r="J127" s="8" t="s">
        <v>23</v>
      </c>
      <c r="K127" s="8" t="s">
        <v>171</v>
      </c>
      <c r="L127" s="8" t="s">
        <v>172</v>
      </c>
      <c r="M127" s="8" t="s">
        <v>173</v>
      </c>
      <c r="N127" s="8" t="s">
        <v>174</v>
      </c>
      <c r="O127" s="8" t="s">
        <v>175</v>
      </c>
      <c r="P127" s="8" t="s">
        <v>176</v>
      </c>
      <c r="Q127" s="8" t="s">
        <v>23</v>
      </c>
      <c r="R127" s="8" t="s">
        <v>103</v>
      </c>
      <c r="S127" s="8"/>
      <c r="T127" s="8"/>
      <c r="U127" s="8"/>
      <c r="V127" s="8"/>
      <c r="W127" s="8"/>
      <c r="X127" s="8"/>
      <c r="Y127" s="17"/>
      <c r="Z127" s="17"/>
    </row>
    <row r="128" spans="1:26" ht="11.25" customHeight="1" x14ac:dyDescent="0.4">
      <c r="A128" s="7"/>
      <c r="B128" s="7"/>
      <c r="C128" s="9" t="s">
        <v>34</v>
      </c>
      <c r="D128" s="9"/>
      <c r="E128" s="8" t="s">
        <v>35</v>
      </c>
      <c r="F128" s="8" t="s">
        <v>36</v>
      </c>
      <c r="G128" s="8" t="s">
        <v>42</v>
      </c>
      <c r="H128" s="8" t="s">
        <v>36</v>
      </c>
      <c r="I128" s="8" t="s">
        <v>37</v>
      </c>
      <c r="J128" s="8" t="s">
        <v>41</v>
      </c>
      <c r="K128" s="8" t="s">
        <v>37</v>
      </c>
      <c r="L128" s="8" t="s">
        <v>35</v>
      </c>
      <c r="M128" s="8" t="s">
        <v>36</v>
      </c>
      <c r="N128" s="8" t="s">
        <v>35</v>
      </c>
      <c r="O128" s="8" t="s">
        <v>41</v>
      </c>
      <c r="P128" s="8" t="s">
        <v>42</v>
      </c>
      <c r="Q128" s="8" t="s">
        <v>37</v>
      </c>
      <c r="R128" s="8" t="s">
        <v>35</v>
      </c>
      <c r="S128" s="8"/>
      <c r="T128" s="8"/>
      <c r="U128" s="8"/>
      <c r="V128" s="8"/>
      <c r="W128" s="8"/>
      <c r="X128" s="8"/>
      <c r="Y128" s="17"/>
      <c r="Z128" s="17"/>
    </row>
    <row r="129" spans="1:26" ht="11.25" customHeight="1" x14ac:dyDescent="0.4">
      <c r="A129" s="7"/>
      <c r="B129" s="7"/>
      <c r="C129" s="10"/>
      <c r="D129" s="10"/>
      <c r="E129" s="11">
        <v>4.1666666666666664E-2</v>
      </c>
      <c r="F129" s="11">
        <v>0.25</v>
      </c>
      <c r="G129" s="11">
        <v>0.20833333333333334</v>
      </c>
      <c r="H129" s="11">
        <v>0.20833333333333334</v>
      </c>
      <c r="I129" s="11">
        <v>0.75</v>
      </c>
      <c r="J129" s="11">
        <v>0.125</v>
      </c>
      <c r="K129" s="11">
        <v>0.29166666666666669</v>
      </c>
      <c r="L129" s="11">
        <v>0.79166666666666663</v>
      </c>
      <c r="M129" s="11">
        <v>0.75</v>
      </c>
      <c r="N129" s="11">
        <v>0</v>
      </c>
      <c r="O129" s="11">
        <v>0.29166666666666669</v>
      </c>
      <c r="P129" s="11">
        <v>0.3125</v>
      </c>
      <c r="Q129" s="11">
        <v>0.70833333333333337</v>
      </c>
      <c r="R129" s="11">
        <v>4.1666666666666664E-2</v>
      </c>
      <c r="S129" s="8"/>
      <c r="T129" s="8"/>
      <c r="U129" s="8"/>
      <c r="V129" s="8"/>
      <c r="W129" s="8"/>
      <c r="X129" s="8"/>
      <c r="Y129" s="17"/>
      <c r="Z129" s="17"/>
    </row>
    <row r="130" spans="1:26" ht="11.25" customHeight="1" x14ac:dyDescent="0.4">
      <c r="A130" s="7"/>
      <c r="B130" s="7"/>
      <c r="C130" s="9" t="s">
        <v>40</v>
      </c>
      <c r="D130" s="9"/>
      <c r="E130" s="8" t="s">
        <v>38</v>
      </c>
      <c r="F130" s="8" t="s">
        <v>41</v>
      </c>
      <c r="G130" s="8" t="s">
        <v>35</v>
      </c>
      <c r="H130" s="8" t="s">
        <v>36</v>
      </c>
      <c r="I130" s="8" t="s">
        <v>42</v>
      </c>
      <c r="J130" s="8" t="s">
        <v>37</v>
      </c>
      <c r="K130" s="8" t="s">
        <v>42</v>
      </c>
      <c r="L130" s="8" t="s">
        <v>36</v>
      </c>
      <c r="M130" s="8" t="s">
        <v>37</v>
      </c>
      <c r="N130" s="8" t="s">
        <v>36</v>
      </c>
      <c r="O130" s="8" t="s">
        <v>37</v>
      </c>
      <c r="P130" s="8" t="s">
        <v>38</v>
      </c>
      <c r="Q130" s="8" t="s">
        <v>35</v>
      </c>
      <c r="R130" s="8"/>
      <c r="S130" s="8"/>
      <c r="T130" s="8"/>
      <c r="U130" s="8"/>
      <c r="V130" s="8"/>
      <c r="W130" s="8"/>
      <c r="X130" s="8"/>
      <c r="Y130" s="17"/>
      <c r="Z130" s="17"/>
    </row>
    <row r="131" spans="1:26" ht="11.25" customHeight="1" x14ac:dyDescent="0.4">
      <c r="A131" s="7"/>
      <c r="B131" s="7"/>
      <c r="C131" s="10"/>
      <c r="D131" s="10"/>
      <c r="E131" s="11">
        <v>0.5</v>
      </c>
      <c r="F131" s="11">
        <v>0.75</v>
      </c>
      <c r="G131" s="11">
        <v>0.66666666666666663</v>
      </c>
      <c r="H131" s="11">
        <v>0.95833333333333337</v>
      </c>
      <c r="I131" s="11">
        <v>0.75</v>
      </c>
      <c r="J131" s="11">
        <v>0.25</v>
      </c>
      <c r="K131" s="11">
        <v>0.20833333333333334</v>
      </c>
      <c r="L131" s="11">
        <v>0</v>
      </c>
      <c r="M131" s="11">
        <v>0.54166666666666663</v>
      </c>
      <c r="N131" s="11">
        <v>0</v>
      </c>
      <c r="O131" s="11">
        <v>0.54166666666666663</v>
      </c>
      <c r="P131" s="11">
        <v>0.27083333333333331</v>
      </c>
      <c r="Q131" s="11">
        <v>0.33333333333333331</v>
      </c>
      <c r="R131" s="8"/>
      <c r="S131" s="8"/>
      <c r="T131" s="8"/>
      <c r="U131" s="8"/>
      <c r="V131" s="8"/>
      <c r="W131" s="8"/>
      <c r="X131" s="8"/>
      <c r="Y131" s="17"/>
      <c r="Z131" s="17"/>
    </row>
    <row r="132" spans="1:26" ht="11.25" customHeight="1" thickBot="1" x14ac:dyDescent="0.45">
      <c r="A132" s="7"/>
      <c r="B132" s="7"/>
      <c r="C132" s="13" t="s">
        <v>43</v>
      </c>
      <c r="D132" s="9"/>
      <c r="E132" s="9"/>
      <c r="F132" s="14">
        <f t="shared" ref="F132:Q132" si="21">((MATCH(F128,{"MON","TUE","WED","THU","FRI","SAT","SUN"},0)+F129+IF(MATCH(F128,{"MON","TUE","WED","THU","FRI","SAT","SUN"},0)&lt;MATCH(E130,{"MON","TUE","WED","THU","FRI","SAT","SUN"},0),7,0))-(MATCH(E130,{"MON","TUE","WED","THU","FRI","SAT","SUN"},0)+E131))</f>
        <v>1.75</v>
      </c>
      <c r="G132" s="14">
        <f t="shared" si="21"/>
        <v>1.458333333333333</v>
      </c>
      <c r="H132" s="14">
        <f t="shared" si="21"/>
        <v>2.541666666666667</v>
      </c>
      <c r="I132" s="14">
        <f t="shared" si="21"/>
        <v>1.7916666666666665</v>
      </c>
      <c r="J132" s="14">
        <f t="shared" si="21"/>
        <v>4.375</v>
      </c>
      <c r="K132" s="14">
        <f t="shared" si="21"/>
        <v>4.1666666666666963E-2</v>
      </c>
      <c r="L132" s="14">
        <f t="shared" si="21"/>
        <v>1.5833333333333339</v>
      </c>
      <c r="M132" s="14">
        <f t="shared" si="21"/>
        <v>0.75</v>
      </c>
      <c r="N132" s="14">
        <f t="shared" si="21"/>
        <v>1.458333333333333</v>
      </c>
      <c r="O132" s="14">
        <f t="shared" si="21"/>
        <v>1.291666666666667</v>
      </c>
      <c r="P132" s="14">
        <f t="shared" si="21"/>
        <v>0.77083333333333304</v>
      </c>
      <c r="Q132" s="14">
        <f t="shared" si="21"/>
        <v>4.4375</v>
      </c>
      <c r="R132" s="14">
        <f t="array" ref="R132">((MATCH(R128,{"MON","TUE","WED","THU","FRI","SAT","SUN"},0)+R129+IF(MATCH(R128,{"MON","TUE","WED","THU","FRI","SAT","SUN"},0)&lt;MATCH(Q130,{"MON","TUE","WED","THU","FRI","SAT","SUN"},0),7,0))-(MATCH(Q130,{"MON","TUE","WED","THU","FRI","SAT","SUN"},0)+Q131))+7</f>
        <v>6.7083333333333339</v>
      </c>
      <c r="S132" s="14"/>
      <c r="T132" s="13"/>
      <c r="U132" s="13"/>
      <c r="V132" s="13"/>
      <c r="W132" s="13"/>
      <c r="X132" s="13"/>
      <c r="Y132" s="17"/>
      <c r="Z132" s="17"/>
    </row>
    <row r="133" spans="1:26" ht="11.25" customHeight="1" x14ac:dyDescent="0.4">
      <c r="A133" s="5" t="s">
        <v>149</v>
      </c>
      <c r="B133" s="5" t="s">
        <v>177</v>
      </c>
      <c r="C133" s="6">
        <v>10000</v>
      </c>
      <c r="D133" s="6">
        <v>18</v>
      </c>
      <c r="E133" s="6" t="s">
        <v>178</v>
      </c>
      <c r="F133" s="6" t="s">
        <v>179</v>
      </c>
      <c r="G133" s="6" t="s">
        <v>15</v>
      </c>
      <c r="H133" s="6" t="s">
        <v>17</v>
      </c>
      <c r="I133" s="6" t="s">
        <v>16</v>
      </c>
      <c r="J133" s="6" t="s">
        <v>18</v>
      </c>
      <c r="K133" s="6" t="s">
        <v>9</v>
      </c>
      <c r="L133" s="6" t="s">
        <v>180</v>
      </c>
      <c r="M133" s="6" t="s">
        <v>181</v>
      </c>
      <c r="N133" s="6" t="s">
        <v>182</v>
      </c>
      <c r="O133" s="6" t="s">
        <v>63</v>
      </c>
      <c r="P133" s="6" t="s">
        <v>178</v>
      </c>
      <c r="Q133" s="6"/>
      <c r="R133" s="6"/>
      <c r="S133" s="6"/>
      <c r="T133" s="6"/>
      <c r="U133" s="6"/>
      <c r="V133" s="6"/>
      <c r="W133" s="6"/>
      <c r="X133" s="6"/>
      <c r="Y133" s="17"/>
      <c r="Z133" s="17"/>
    </row>
    <row r="134" spans="1:26" ht="11.25" customHeight="1" x14ac:dyDescent="0.4">
      <c r="A134" s="7"/>
      <c r="B134" s="7"/>
      <c r="C134" s="8" t="s">
        <v>20</v>
      </c>
      <c r="D134" s="8"/>
      <c r="E134" s="8" t="s">
        <v>183</v>
      </c>
      <c r="F134" s="8" t="s">
        <v>184</v>
      </c>
      <c r="G134" s="8" t="s">
        <v>185</v>
      </c>
      <c r="H134" s="8" t="s">
        <v>140</v>
      </c>
      <c r="I134" s="8" t="s">
        <v>139</v>
      </c>
      <c r="J134" s="8" t="s">
        <v>148</v>
      </c>
      <c r="K134" s="8" t="s">
        <v>23</v>
      </c>
      <c r="L134" s="8" t="s">
        <v>186</v>
      </c>
      <c r="M134" s="8" t="s">
        <v>187</v>
      </c>
      <c r="N134" s="8" t="s">
        <v>188</v>
      </c>
      <c r="O134" s="8" t="s">
        <v>189</v>
      </c>
      <c r="P134" s="8" t="s">
        <v>183</v>
      </c>
      <c r="Q134" s="8"/>
      <c r="R134" s="8"/>
      <c r="S134" s="8"/>
      <c r="T134" s="8"/>
      <c r="U134" s="8"/>
      <c r="V134" s="8"/>
      <c r="W134" s="8"/>
      <c r="X134" s="8"/>
      <c r="Y134" s="17"/>
      <c r="Z134" s="17"/>
    </row>
    <row r="135" spans="1:26" ht="11.25" customHeight="1" x14ac:dyDescent="0.4">
      <c r="A135" s="7"/>
      <c r="B135" s="7"/>
      <c r="C135" s="9" t="s">
        <v>34</v>
      </c>
      <c r="D135" s="9"/>
      <c r="E135" s="8" t="s">
        <v>37</v>
      </c>
      <c r="F135" s="8" t="s">
        <v>35</v>
      </c>
      <c r="G135" s="8" t="s">
        <v>37</v>
      </c>
      <c r="H135" s="8" t="s">
        <v>38</v>
      </c>
      <c r="I135" s="8" t="s">
        <v>37</v>
      </c>
      <c r="J135" s="8" t="s">
        <v>39</v>
      </c>
      <c r="K135" s="8" t="s">
        <v>35</v>
      </c>
      <c r="L135" s="8" t="s">
        <v>39</v>
      </c>
      <c r="M135" s="8" t="s">
        <v>41</v>
      </c>
      <c r="N135" s="8" t="s">
        <v>41</v>
      </c>
      <c r="O135" s="8" t="s">
        <v>38</v>
      </c>
      <c r="P135" s="8" t="s">
        <v>37</v>
      </c>
      <c r="Q135" s="8"/>
      <c r="R135" s="8"/>
      <c r="S135" s="8"/>
      <c r="T135" s="8"/>
      <c r="U135" s="8"/>
      <c r="V135" s="8"/>
      <c r="W135" s="8"/>
      <c r="X135" s="8"/>
      <c r="Y135" s="17"/>
      <c r="Z135" s="17"/>
    </row>
    <row r="136" spans="1:26" ht="11.25" customHeight="1" x14ac:dyDescent="0.4">
      <c r="A136" s="7"/>
      <c r="B136" s="7"/>
      <c r="C136" s="10"/>
      <c r="D136" s="10"/>
      <c r="E136" s="11">
        <v>0.25</v>
      </c>
      <c r="F136" s="11">
        <v>0</v>
      </c>
      <c r="G136" s="11">
        <v>0</v>
      </c>
      <c r="H136" s="11">
        <v>0.33333333333333331</v>
      </c>
      <c r="I136" s="11">
        <v>0.875</v>
      </c>
      <c r="J136" s="11">
        <v>0.70833333333333337</v>
      </c>
      <c r="K136" s="11">
        <v>0.75</v>
      </c>
      <c r="L136" s="11">
        <v>0.33333333333333331</v>
      </c>
      <c r="M136" s="11">
        <v>0.33333333333333331</v>
      </c>
      <c r="N136" s="11">
        <v>0.91666666666666663</v>
      </c>
      <c r="O136" s="11">
        <v>0.5</v>
      </c>
      <c r="P136" s="11">
        <v>0.25</v>
      </c>
      <c r="Q136" s="8"/>
      <c r="R136" s="8"/>
      <c r="S136" s="8"/>
      <c r="T136" s="8"/>
      <c r="U136" s="8"/>
      <c r="V136" s="8"/>
      <c r="W136" s="8"/>
      <c r="X136" s="8"/>
      <c r="Y136" s="17"/>
      <c r="Z136" s="17"/>
    </row>
    <row r="137" spans="1:26" ht="11.25" customHeight="1" x14ac:dyDescent="0.4">
      <c r="A137" s="7"/>
      <c r="B137" s="7"/>
      <c r="C137" s="9" t="s">
        <v>40</v>
      </c>
      <c r="D137" s="9"/>
      <c r="E137" s="8" t="s">
        <v>42</v>
      </c>
      <c r="F137" s="8" t="s">
        <v>38</v>
      </c>
      <c r="G137" s="8" t="s">
        <v>42</v>
      </c>
      <c r="H137" s="8" t="s">
        <v>39</v>
      </c>
      <c r="I137" s="8" t="s">
        <v>42</v>
      </c>
      <c r="J137" s="8" t="s">
        <v>36</v>
      </c>
      <c r="K137" s="8" t="s">
        <v>39</v>
      </c>
      <c r="L137" s="8" t="s">
        <v>36</v>
      </c>
      <c r="M137" s="8" t="s">
        <v>37</v>
      </c>
      <c r="N137" s="8" t="s">
        <v>42</v>
      </c>
      <c r="O137" s="8" t="s">
        <v>39</v>
      </c>
      <c r="P137" s="8"/>
      <c r="Q137" s="8"/>
      <c r="R137" s="8"/>
      <c r="S137" s="8"/>
      <c r="T137" s="8"/>
      <c r="U137" s="8"/>
      <c r="V137" s="8"/>
      <c r="W137" s="8"/>
      <c r="X137" s="8"/>
      <c r="Y137" s="17"/>
      <c r="Z137" s="17"/>
    </row>
    <row r="138" spans="1:26" ht="11.25" customHeight="1" x14ac:dyDescent="0.4">
      <c r="A138" s="7"/>
      <c r="B138" s="7"/>
      <c r="C138" s="10"/>
      <c r="D138" s="10"/>
      <c r="E138" s="11">
        <v>0.25</v>
      </c>
      <c r="F138" s="11">
        <v>0.5</v>
      </c>
      <c r="G138" s="11">
        <v>0.25</v>
      </c>
      <c r="H138" s="11">
        <v>0.83333333333333337</v>
      </c>
      <c r="I138" s="11">
        <v>0.875</v>
      </c>
      <c r="J138" s="11">
        <v>0.70833333333333337</v>
      </c>
      <c r="K138" s="11">
        <v>0.75</v>
      </c>
      <c r="L138" s="11">
        <v>0.66666666666666663</v>
      </c>
      <c r="M138" s="11">
        <v>0.66666666666666663</v>
      </c>
      <c r="N138" s="11">
        <v>0.66666666666666663</v>
      </c>
      <c r="O138" s="11">
        <v>0.5</v>
      </c>
      <c r="P138" s="8"/>
      <c r="Q138" s="8"/>
      <c r="R138" s="8"/>
      <c r="S138" s="8"/>
      <c r="T138" s="8"/>
      <c r="U138" s="8"/>
      <c r="V138" s="8"/>
      <c r="W138" s="8"/>
      <c r="X138" s="8"/>
      <c r="Y138" s="17"/>
      <c r="Z138" s="17"/>
    </row>
    <row r="139" spans="1:26" ht="11.25" customHeight="1" thickBot="1" x14ac:dyDescent="0.45">
      <c r="A139" s="12"/>
      <c r="B139" s="7"/>
      <c r="C139" s="13" t="s">
        <v>43</v>
      </c>
      <c r="D139" s="13"/>
      <c r="E139" s="13"/>
      <c r="F139" s="14">
        <f t="shared" ref="F139:K139" si="22">((MATCH(F135,{"MON","TUE","WED","THU","FRI","SAT","SUN"},0)+F136+IF(MATCH(F135,{"MON","TUE","WED","THU","FRI","SAT","SUN"},0)&lt;MATCH(E137,{"MON","TUE","WED","THU","FRI","SAT","SUN"},0),7,0))-(MATCH(E137,{"MON","TUE","WED","THU","FRI","SAT","SUN"},0)+E138))</f>
        <v>0.75</v>
      </c>
      <c r="G139" s="14">
        <f t="shared" si="22"/>
        <v>3.5</v>
      </c>
      <c r="H139" s="14">
        <f t="shared" si="22"/>
        <v>2.0833333333333339</v>
      </c>
      <c r="I139" s="14">
        <f t="shared" si="22"/>
        <v>3.0416666666666665</v>
      </c>
      <c r="J139" s="14">
        <f t="shared" si="22"/>
        <v>2.8333333333333339</v>
      </c>
      <c r="K139" s="14">
        <f t="shared" si="22"/>
        <v>4.0416666666666661</v>
      </c>
      <c r="L139" s="14">
        <f t="array" ref="L139">((MATCH(L135,{"MON","TUE","WED","THU","FRI","SAT","SUN"},0)+L136+IF(MATCH(L135,{"MON","TUE","WED","THU","FRI","SAT","SUN"},0)&lt;MATCH(K137,{"MON","TUE","WED","THU","FRI","SAT","SUN"},0),7,0))-(MATCH(K137,{"MON","TUE","WED","THU","FRI","SAT","SUN"},0)+K138))+7</f>
        <v>6.5833333333333339</v>
      </c>
      <c r="M139" s="14">
        <f t="shared" ref="M139:P139" si="23">((MATCH(M135,{"MON","TUE","WED","THU","FRI","SAT","SUN"},0)+M136+IF(MATCH(M135,{"MON","TUE","WED","THU","FRI","SAT","SUN"},0)&lt;MATCH(L137,{"MON","TUE","WED","THU","FRI","SAT","SUN"},0),7,0))-(MATCH(L137,{"MON","TUE","WED","THU","FRI","SAT","SUN"},0)+L138))</f>
        <v>0.66666666666666652</v>
      </c>
      <c r="N139" s="14">
        <f t="shared" si="23"/>
        <v>6.2500000000000009</v>
      </c>
      <c r="O139" s="14">
        <f t="shared" si="23"/>
        <v>1.833333333333333</v>
      </c>
      <c r="P139" s="14">
        <f t="shared" si="23"/>
        <v>2.75</v>
      </c>
      <c r="Q139" s="13"/>
      <c r="R139" s="13"/>
      <c r="S139" s="13"/>
      <c r="T139" s="13"/>
      <c r="U139" s="13"/>
      <c r="V139" s="13"/>
      <c r="W139" s="13"/>
      <c r="X139" s="13"/>
      <c r="Y139" s="17"/>
      <c r="Z139" s="17"/>
    </row>
    <row r="140" spans="1:26" ht="11.25" customHeight="1" x14ac:dyDescent="0.4">
      <c r="A140" s="5" t="s">
        <v>149</v>
      </c>
      <c r="B140" s="5" t="s">
        <v>190</v>
      </c>
      <c r="C140" s="10">
        <v>10000</v>
      </c>
      <c r="D140" s="10">
        <v>16</v>
      </c>
      <c r="E140" s="10" t="s">
        <v>17</v>
      </c>
      <c r="F140" s="10" t="s">
        <v>16</v>
      </c>
      <c r="G140" s="10" t="s">
        <v>11</v>
      </c>
      <c r="H140" s="10" t="s">
        <v>9</v>
      </c>
      <c r="I140" s="10" t="s">
        <v>156</v>
      </c>
      <c r="J140" s="10" t="s">
        <v>169</v>
      </c>
      <c r="K140" s="10" t="s">
        <v>17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7"/>
      <c r="Z140" s="17"/>
    </row>
    <row r="141" spans="1:26" ht="11.25" customHeight="1" x14ac:dyDescent="0.4">
      <c r="A141" s="7"/>
      <c r="B141" s="7"/>
      <c r="C141" s="8" t="s">
        <v>20</v>
      </c>
      <c r="D141" s="8"/>
      <c r="E141" s="8" t="s">
        <v>140</v>
      </c>
      <c r="F141" s="8" t="s">
        <v>139</v>
      </c>
      <c r="G141" s="8" t="s">
        <v>25</v>
      </c>
      <c r="H141" s="8" t="s">
        <v>23</v>
      </c>
      <c r="I141" s="8" t="s">
        <v>174</v>
      </c>
      <c r="J141" s="8" t="s">
        <v>175</v>
      </c>
      <c r="K141" s="8" t="s">
        <v>140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17"/>
      <c r="Z141" s="17"/>
    </row>
    <row r="142" spans="1:26" ht="11.25" customHeight="1" x14ac:dyDescent="0.4">
      <c r="A142" s="7"/>
      <c r="B142" s="7"/>
      <c r="C142" s="9" t="s">
        <v>34</v>
      </c>
      <c r="D142" s="9"/>
      <c r="E142" s="8" t="s">
        <v>38</v>
      </c>
      <c r="F142" s="8" t="s">
        <v>41</v>
      </c>
      <c r="G142" s="8" t="s">
        <v>38</v>
      </c>
      <c r="H142" s="8" t="s">
        <v>42</v>
      </c>
      <c r="I142" s="8" t="s">
        <v>42</v>
      </c>
      <c r="J142" s="8" t="s">
        <v>38</v>
      </c>
      <c r="K142" s="8" t="s">
        <v>38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17"/>
      <c r="Z142" s="17"/>
    </row>
    <row r="143" spans="1:26" ht="11.25" customHeight="1" x14ac:dyDescent="0.4">
      <c r="A143" s="7"/>
      <c r="B143" s="7"/>
      <c r="C143" s="10"/>
      <c r="D143" s="10"/>
      <c r="E143" s="11">
        <v>0.58333333333333337</v>
      </c>
      <c r="F143" s="11">
        <v>0.33333333333333331</v>
      </c>
      <c r="G143" s="11">
        <v>0.20833333333333334</v>
      </c>
      <c r="H143" s="11">
        <v>0.75</v>
      </c>
      <c r="I143" s="11">
        <v>0.33333333333333331</v>
      </c>
      <c r="J143" s="11">
        <v>0.29166666666666669</v>
      </c>
      <c r="K143" s="11">
        <v>0.58333333333333337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17"/>
      <c r="Z143" s="17"/>
    </row>
    <row r="144" spans="1:26" ht="11.25" customHeight="1" x14ac:dyDescent="0.4">
      <c r="A144" s="7"/>
      <c r="B144" s="7"/>
      <c r="C144" s="9" t="s">
        <v>40</v>
      </c>
      <c r="D144" s="9"/>
      <c r="E144" s="8" t="s">
        <v>39</v>
      </c>
      <c r="F144" s="8" t="s">
        <v>37</v>
      </c>
      <c r="G144" s="8" t="s">
        <v>39</v>
      </c>
      <c r="H144" s="8" t="s">
        <v>38</v>
      </c>
      <c r="I144" s="8" t="s">
        <v>35</v>
      </c>
      <c r="J144" s="8" t="s">
        <v>36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17"/>
      <c r="Z144" s="17"/>
    </row>
    <row r="145" spans="1:26" ht="11.25" customHeight="1" x14ac:dyDescent="0.4">
      <c r="A145" s="7"/>
      <c r="B145" s="7"/>
      <c r="C145" s="10"/>
      <c r="D145" s="10"/>
      <c r="E145" s="11">
        <v>0.58333333333333337</v>
      </c>
      <c r="F145" s="11">
        <v>0.33333333333333331</v>
      </c>
      <c r="G145" s="11">
        <v>0.20833333333333334</v>
      </c>
      <c r="H145" s="11">
        <v>0.75</v>
      </c>
      <c r="I145" s="11">
        <v>0.83333333333333337</v>
      </c>
      <c r="J145" s="11">
        <v>0.29166666666666669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17"/>
      <c r="Z145" s="17"/>
    </row>
    <row r="146" spans="1:26" ht="11.25" customHeight="1" thickBot="1" x14ac:dyDescent="0.45">
      <c r="A146" s="7"/>
      <c r="B146" s="7"/>
      <c r="C146" s="13" t="s">
        <v>43</v>
      </c>
      <c r="D146" s="9"/>
      <c r="E146" s="9"/>
      <c r="F146" s="14">
        <f t="shared" ref="F146:K146" si="24">((MATCH(F142,{"MON","TUE","WED","THU","FRI","SAT","SUN"},0)+F143+IF(MATCH(F142,{"MON","TUE","WED","THU","FRI","SAT","SUN"},0)&lt;MATCH(E144,{"MON","TUE","WED","THU","FRI","SAT","SUN"},0),7,0))-(MATCH(E144,{"MON","TUE","WED","THU","FRI","SAT","SUN"},0)+E145))</f>
        <v>1.7499999999999996</v>
      </c>
      <c r="G146" s="14">
        <f t="shared" si="24"/>
        <v>2.8750000000000009</v>
      </c>
      <c r="H146" s="14">
        <f t="shared" si="24"/>
        <v>4.5416666666666661</v>
      </c>
      <c r="I146" s="14">
        <f t="shared" si="24"/>
        <v>4.583333333333333</v>
      </c>
      <c r="J146" s="14">
        <f t="shared" si="24"/>
        <v>0.45833333333333304</v>
      </c>
      <c r="K146" s="14">
        <f t="shared" si="24"/>
        <v>5.2916666666666679</v>
      </c>
      <c r="L146" s="14"/>
      <c r="M146" s="14"/>
      <c r="N146" s="14"/>
      <c r="O146" s="14"/>
      <c r="P146" s="14"/>
      <c r="Q146" s="14"/>
      <c r="R146" s="14"/>
      <c r="S146" s="14"/>
      <c r="T146" s="13"/>
      <c r="U146" s="13"/>
      <c r="V146" s="13"/>
      <c r="W146" s="13"/>
      <c r="X146" s="13"/>
      <c r="Y146" s="17"/>
      <c r="Z146" s="17"/>
    </row>
    <row r="147" spans="1:26" ht="11.25" customHeight="1" x14ac:dyDescent="0.4">
      <c r="A147" s="5" t="s">
        <v>149</v>
      </c>
      <c r="B147" s="5" t="s">
        <v>191</v>
      </c>
      <c r="C147" s="6">
        <v>10000</v>
      </c>
      <c r="D147" s="6">
        <v>16</v>
      </c>
      <c r="E147" s="6" t="s">
        <v>155</v>
      </c>
      <c r="F147" s="6" t="s">
        <v>154</v>
      </c>
      <c r="G147" s="6" t="s">
        <v>170</v>
      </c>
      <c r="H147" s="6" t="s">
        <v>192</v>
      </c>
      <c r="I147" s="6" t="s">
        <v>9</v>
      </c>
      <c r="J147" s="6" t="s">
        <v>16</v>
      </c>
      <c r="K147" s="6" t="s">
        <v>52</v>
      </c>
      <c r="L147" s="6" t="s">
        <v>17</v>
      </c>
      <c r="M147" s="6" t="s">
        <v>16</v>
      </c>
      <c r="N147" s="6" t="s">
        <v>63</v>
      </c>
      <c r="O147" s="6" t="s">
        <v>193</v>
      </c>
      <c r="P147" s="6" t="s">
        <v>11</v>
      </c>
      <c r="Q147" s="6" t="s">
        <v>155</v>
      </c>
      <c r="R147" s="6"/>
      <c r="S147" s="6"/>
      <c r="T147" s="6"/>
      <c r="U147" s="6"/>
      <c r="V147" s="6"/>
      <c r="W147" s="6"/>
      <c r="X147" s="6"/>
      <c r="Y147" s="17"/>
      <c r="Z147" s="17"/>
    </row>
    <row r="148" spans="1:26" ht="11.25" customHeight="1" x14ac:dyDescent="0.4">
      <c r="A148" s="7"/>
      <c r="B148" s="7"/>
      <c r="C148" s="8" t="s">
        <v>20</v>
      </c>
      <c r="D148" s="8"/>
      <c r="E148" s="8" t="s">
        <v>194</v>
      </c>
      <c r="F148" s="8" t="s">
        <v>173</v>
      </c>
      <c r="G148" s="8" t="s">
        <v>195</v>
      </c>
      <c r="H148" s="8" t="s">
        <v>196</v>
      </c>
      <c r="I148" s="8" t="s">
        <v>23</v>
      </c>
      <c r="J148" s="8" t="s">
        <v>139</v>
      </c>
      <c r="K148" s="8" t="s">
        <v>158</v>
      </c>
      <c r="L148" s="8" t="s">
        <v>140</v>
      </c>
      <c r="M148" s="8" t="s">
        <v>139</v>
      </c>
      <c r="N148" s="8" t="s">
        <v>189</v>
      </c>
      <c r="O148" s="8" t="s">
        <v>197</v>
      </c>
      <c r="P148" s="8" t="s">
        <v>25</v>
      </c>
      <c r="Q148" s="8" t="s">
        <v>194</v>
      </c>
      <c r="R148" s="8"/>
      <c r="S148" s="8"/>
      <c r="T148" s="8"/>
      <c r="U148" s="8"/>
      <c r="V148" s="8"/>
      <c r="W148" s="8"/>
      <c r="X148" s="8"/>
      <c r="Y148" s="17"/>
      <c r="Z148" s="17"/>
    </row>
    <row r="149" spans="1:26" ht="11.25" customHeight="1" x14ac:dyDescent="0.4">
      <c r="A149" s="7"/>
      <c r="B149" s="7"/>
      <c r="C149" s="9" t="s">
        <v>34</v>
      </c>
      <c r="D149" s="9"/>
      <c r="E149" s="8" t="s">
        <v>38</v>
      </c>
      <c r="F149" s="8" t="s">
        <v>41</v>
      </c>
      <c r="G149" s="8" t="s">
        <v>38</v>
      </c>
      <c r="H149" s="8" t="s">
        <v>37</v>
      </c>
      <c r="I149" s="8" t="s">
        <v>37</v>
      </c>
      <c r="J149" s="8" t="s">
        <v>37</v>
      </c>
      <c r="K149" s="8" t="s">
        <v>39</v>
      </c>
      <c r="L149" s="8" t="s">
        <v>37</v>
      </c>
      <c r="M149" s="8" t="s">
        <v>36</v>
      </c>
      <c r="N149" s="8" t="s">
        <v>42</v>
      </c>
      <c r="O149" s="8" t="s">
        <v>38</v>
      </c>
      <c r="P149" s="8" t="s">
        <v>39</v>
      </c>
      <c r="Q149" s="8" t="s">
        <v>38</v>
      </c>
      <c r="R149" s="8"/>
      <c r="S149" s="8"/>
      <c r="T149" s="8"/>
      <c r="U149" s="8"/>
      <c r="V149" s="8"/>
      <c r="W149" s="8"/>
      <c r="X149" s="8"/>
      <c r="Y149" s="17"/>
      <c r="Z149" s="17"/>
    </row>
    <row r="150" spans="1:26" ht="11.25" customHeight="1" x14ac:dyDescent="0.4">
      <c r="A150" s="7"/>
      <c r="B150" s="7"/>
      <c r="C150" s="10"/>
      <c r="D150" s="10"/>
      <c r="E150" s="11">
        <v>0.83333333333333337</v>
      </c>
      <c r="F150" s="11">
        <v>0.58333333333333337</v>
      </c>
      <c r="G150" s="11">
        <v>0.5</v>
      </c>
      <c r="H150" s="11">
        <v>0.29166666666666669</v>
      </c>
      <c r="I150" s="11">
        <v>0.25</v>
      </c>
      <c r="J150" s="11">
        <v>0.75</v>
      </c>
      <c r="K150" s="11">
        <v>0</v>
      </c>
      <c r="L150" s="11">
        <v>0.83333333333333337</v>
      </c>
      <c r="M150" s="11">
        <v>0.29166666666666669</v>
      </c>
      <c r="N150" s="11">
        <v>0.25</v>
      </c>
      <c r="O150" s="11">
        <v>4.1666666666666664E-2</v>
      </c>
      <c r="P150" s="11">
        <v>0.25</v>
      </c>
      <c r="Q150" s="11">
        <v>0.83333333333333337</v>
      </c>
      <c r="R150" s="8"/>
      <c r="S150" s="8"/>
      <c r="T150" s="8"/>
      <c r="U150" s="8"/>
      <c r="V150" s="8"/>
      <c r="W150" s="8"/>
      <c r="X150" s="8"/>
      <c r="Y150" s="17"/>
      <c r="Z150" s="17"/>
    </row>
    <row r="151" spans="1:26" ht="11.25" customHeight="1" x14ac:dyDescent="0.4">
      <c r="A151" s="7"/>
      <c r="B151" s="7"/>
      <c r="C151" s="9" t="s">
        <v>40</v>
      </c>
      <c r="D151" s="9"/>
      <c r="E151" s="8" t="s">
        <v>36</v>
      </c>
      <c r="F151" s="8" t="s">
        <v>35</v>
      </c>
      <c r="G151" s="8" t="s">
        <v>36</v>
      </c>
      <c r="H151" s="8" t="s">
        <v>36</v>
      </c>
      <c r="I151" s="8" t="s">
        <v>35</v>
      </c>
      <c r="J151" s="8" t="s">
        <v>42</v>
      </c>
      <c r="K151" s="8" t="s">
        <v>41</v>
      </c>
      <c r="L151" s="8" t="s">
        <v>35</v>
      </c>
      <c r="M151" s="8" t="s">
        <v>41</v>
      </c>
      <c r="N151" s="8" t="s">
        <v>35</v>
      </c>
      <c r="O151" s="8" t="s">
        <v>38</v>
      </c>
      <c r="P151" s="8" t="s">
        <v>36</v>
      </c>
      <c r="Q151" s="8"/>
      <c r="R151" s="8"/>
      <c r="S151" s="8"/>
      <c r="T151" s="8"/>
      <c r="U151" s="8"/>
      <c r="V151" s="8"/>
      <c r="W151" s="8"/>
      <c r="X151" s="8"/>
      <c r="Y151" s="17"/>
      <c r="Z151" s="17"/>
    </row>
    <row r="152" spans="1:26" ht="11.25" customHeight="1" x14ac:dyDescent="0.4">
      <c r="A152" s="7"/>
      <c r="B152" s="7"/>
      <c r="C152" s="10"/>
      <c r="D152" s="10"/>
      <c r="E152" s="11">
        <v>0.83333333333333337</v>
      </c>
      <c r="F152" s="11">
        <v>0.58333333333333337</v>
      </c>
      <c r="G152" s="11">
        <v>0.5</v>
      </c>
      <c r="H152" s="11">
        <v>0.29166666666666669</v>
      </c>
      <c r="I152" s="11">
        <v>0.25</v>
      </c>
      <c r="J152" s="11">
        <v>0.75</v>
      </c>
      <c r="K152" s="11">
        <v>0.66666666666666663</v>
      </c>
      <c r="L152" s="11">
        <v>0.33333333333333331</v>
      </c>
      <c r="M152" s="11">
        <v>0.29166666666666669</v>
      </c>
      <c r="N152" s="11">
        <v>0</v>
      </c>
      <c r="O152" s="11">
        <v>0.79166666666666663</v>
      </c>
      <c r="P152" s="11">
        <v>0.25</v>
      </c>
      <c r="Q152" s="8"/>
      <c r="R152" s="8"/>
      <c r="S152" s="8"/>
      <c r="T152" s="8"/>
      <c r="U152" s="8"/>
      <c r="V152" s="8"/>
      <c r="W152" s="8"/>
      <c r="X152" s="8"/>
      <c r="Y152" s="17"/>
      <c r="Z152" s="17"/>
    </row>
    <row r="153" spans="1:26" ht="11.25" customHeight="1" thickBot="1" x14ac:dyDescent="0.45">
      <c r="A153" s="12"/>
      <c r="B153" s="12"/>
      <c r="C153" s="13" t="s">
        <v>43</v>
      </c>
      <c r="D153" s="13"/>
      <c r="E153" s="13"/>
      <c r="F153" s="14">
        <f t="shared" ref="F153:Q153" si="25">((MATCH(F149,{"MON","TUE","WED","THU","FRI","SAT","SUN"},0)+F150+IF(MATCH(F149,{"MON","TUE","WED","THU","FRI","SAT","SUN"},0)&lt;MATCH(E151,{"MON","TUE","WED","THU","FRI","SAT","SUN"},0),7,0))-(MATCH(E151,{"MON","TUE","WED","THU","FRI","SAT","SUN"},0)+E152))</f>
        <v>0.74999999999999956</v>
      </c>
      <c r="G153" s="14">
        <f t="shared" si="25"/>
        <v>0.91666666666666696</v>
      </c>
      <c r="H153" s="14">
        <f t="shared" si="25"/>
        <v>1.791666666666667</v>
      </c>
      <c r="I153" s="14">
        <f t="shared" si="25"/>
        <v>1.9583333333333335</v>
      </c>
      <c r="J153" s="14">
        <f t="shared" si="25"/>
        <v>5.5</v>
      </c>
      <c r="K153" s="14">
        <f t="shared" si="25"/>
        <v>2.25</v>
      </c>
      <c r="L153" s="14">
        <f t="shared" si="25"/>
        <v>1.1666666666666661</v>
      </c>
      <c r="M153" s="14">
        <f t="shared" si="25"/>
        <v>2.958333333333333</v>
      </c>
      <c r="N153" s="14">
        <f t="shared" si="25"/>
        <v>1.958333333333333</v>
      </c>
      <c r="O153" s="14">
        <f t="shared" si="25"/>
        <v>1.0416666666666661</v>
      </c>
      <c r="P153" s="14">
        <f t="shared" si="25"/>
        <v>0.45833333333333348</v>
      </c>
      <c r="Q153" s="14">
        <f t="shared" si="25"/>
        <v>5.5833333333333339</v>
      </c>
      <c r="R153" s="14"/>
      <c r="S153" s="14"/>
      <c r="T153" s="13"/>
      <c r="U153" s="13"/>
      <c r="V153" s="13"/>
      <c r="W153" s="13"/>
      <c r="X153" s="13"/>
      <c r="Y153" s="17"/>
      <c r="Z153" s="17"/>
    </row>
    <row r="154" spans="1:26" ht="11.25" customHeight="1" x14ac:dyDescent="0.4">
      <c r="A154" s="7" t="s">
        <v>198</v>
      </c>
      <c r="B154" s="7" t="s">
        <v>199</v>
      </c>
      <c r="C154" s="10">
        <v>10000</v>
      </c>
      <c r="D154" s="10">
        <v>21</v>
      </c>
      <c r="E154" s="10" t="s">
        <v>200</v>
      </c>
      <c r="F154" s="10" t="s">
        <v>122</v>
      </c>
      <c r="G154" s="10" t="s">
        <v>9</v>
      </c>
      <c r="H154" s="10" t="s">
        <v>108</v>
      </c>
      <c r="I154" s="10" t="s">
        <v>10</v>
      </c>
      <c r="J154" s="10" t="s">
        <v>62</v>
      </c>
      <c r="K154" s="10" t="s">
        <v>11</v>
      </c>
      <c r="L154" s="10" t="s">
        <v>15</v>
      </c>
      <c r="M154" s="10" t="s">
        <v>74</v>
      </c>
      <c r="N154" s="10" t="s">
        <v>75</v>
      </c>
      <c r="O154" s="10" t="s">
        <v>15</v>
      </c>
      <c r="P154" s="10" t="s">
        <v>45</v>
      </c>
      <c r="Q154" s="10" t="s">
        <v>16</v>
      </c>
      <c r="R154" s="10" t="s">
        <v>17</v>
      </c>
      <c r="S154" s="10" t="s">
        <v>11</v>
      </c>
      <c r="T154" s="10" t="s">
        <v>9</v>
      </c>
      <c r="U154" s="10" t="s">
        <v>200</v>
      </c>
      <c r="V154" s="10"/>
      <c r="W154" s="10"/>
      <c r="X154" s="10"/>
      <c r="Y154" s="17"/>
      <c r="Z154" s="17"/>
    </row>
    <row r="155" spans="1:26" ht="11.25" customHeight="1" x14ac:dyDescent="0.4">
      <c r="A155" s="7"/>
      <c r="B155" s="7"/>
      <c r="C155" s="8" t="s">
        <v>20</v>
      </c>
      <c r="D155" s="8"/>
      <c r="E155" s="8" t="s">
        <v>201</v>
      </c>
      <c r="F155" s="8" t="s">
        <v>142</v>
      </c>
      <c r="G155" s="8" t="s">
        <v>23</v>
      </c>
      <c r="H155" s="8" t="s">
        <v>111</v>
      </c>
      <c r="I155" s="8" t="s">
        <v>117</v>
      </c>
      <c r="J155" s="8" t="s">
        <v>65</v>
      </c>
      <c r="K155" s="8" t="s">
        <v>25</v>
      </c>
      <c r="L155" s="8" t="s">
        <v>103</v>
      </c>
      <c r="M155" s="8" t="s">
        <v>202</v>
      </c>
      <c r="N155" s="8" t="s">
        <v>203</v>
      </c>
      <c r="O155" s="8" t="s">
        <v>103</v>
      </c>
      <c r="P155" s="8" t="s">
        <v>47</v>
      </c>
      <c r="Q155" s="8" t="s">
        <v>49</v>
      </c>
      <c r="R155" s="8" t="s">
        <v>133</v>
      </c>
      <c r="S155" s="8" t="s">
        <v>25</v>
      </c>
      <c r="T155" s="8" t="s">
        <v>23</v>
      </c>
      <c r="U155" s="8" t="s">
        <v>201</v>
      </c>
      <c r="V155" s="8"/>
      <c r="W155" s="8"/>
      <c r="X155" s="8"/>
      <c r="Y155" s="17"/>
      <c r="Z155" s="17"/>
    </row>
    <row r="156" spans="1:26" ht="11.25" customHeight="1" x14ac:dyDescent="0.4">
      <c r="A156" s="7"/>
      <c r="B156" s="7"/>
      <c r="C156" s="9" t="s">
        <v>34</v>
      </c>
      <c r="D156" s="9"/>
      <c r="E156" s="8" t="s">
        <v>42</v>
      </c>
      <c r="F156" s="8" t="s">
        <v>41</v>
      </c>
      <c r="G156" s="8" t="s">
        <v>36</v>
      </c>
      <c r="H156" s="8" t="s">
        <v>35</v>
      </c>
      <c r="I156" s="8" t="s">
        <v>41</v>
      </c>
      <c r="J156" s="8" t="s">
        <v>38</v>
      </c>
      <c r="K156" s="8" t="s">
        <v>41</v>
      </c>
      <c r="L156" s="8" t="s">
        <v>36</v>
      </c>
      <c r="M156" s="8" t="s">
        <v>36</v>
      </c>
      <c r="N156" s="8" t="s">
        <v>41</v>
      </c>
      <c r="O156" s="8" t="s">
        <v>42</v>
      </c>
      <c r="P156" s="8" t="s">
        <v>36</v>
      </c>
      <c r="Q156" s="8" t="s">
        <v>37</v>
      </c>
      <c r="R156" s="8" t="s">
        <v>38</v>
      </c>
      <c r="S156" s="8" t="s">
        <v>41</v>
      </c>
      <c r="T156" s="8" t="s">
        <v>39</v>
      </c>
      <c r="U156" s="8" t="s">
        <v>42</v>
      </c>
      <c r="V156" s="8"/>
      <c r="W156" s="8"/>
      <c r="X156" s="8"/>
      <c r="Y156" s="17"/>
      <c r="Z156" s="17"/>
    </row>
    <row r="157" spans="1:26" ht="11.25" customHeight="1" x14ac:dyDescent="0.4">
      <c r="A157" s="7"/>
      <c r="B157" s="7"/>
      <c r="C157" s="10"/>
      <c r="D157" s="10"/>
      <c r="E157" s="11">
        <v>0.29166666666666669</v>
      </c>
      <c r="F157" s="11">
        <v>0.20833333333333334</v>
      </c>
      <c r="G157" s="11">
        <v>0.58333333333333337</v>
      </c>
      <c r="H157" s="11">
        <v>0.625</v>
      </c>
      <c r="I157" s="11">
        <v>0.625</v>
      </c>
      <c r="J157" s="11">
        <v>0.75</v>
      </c>
      <c r="K157" s="11">
        <v>0.625</v>
      </c>
      <c r="L157" s="11">
        <v>0.45833333333333331</v>
      </c>
      <c r="M157" s="11">
        <v>0.33333333333333331</v>
      </c>
      <c r="N157" s="11">
        <v>0.33333333333333331</v>
      </c>
      <c r="O157" s="11">
        <v>0.79166666666666663</v>
      </c>
      <c r="P157" s="11">
        <v>0.79166666666666663</v>
      </c>
      <c r="Q157" s="11">
        <v>0.91666666666666663</v>
      </c>
      <c r="R157" s="11">
        <v>4.1666666666666664E-2</v>
      </c>
      <c r="S157" s="11">
        <v>0.79166666666666663</v>
      </c>
      <c r="T157" s="11">
        <v>0.45833333333333331</v>
      </c>
      <c r="U157" s="11">
        <v>0.29166666666666669</v>
      </c>
      <c r="V157" s="8"/>
      <c r="W157" s="8"/>
      <c r="X157" s="8"/>
      <c r="Y157" s="17"/>
      <c r="Z157" s="17"/>
    </row>
    <row r="158" spans="1:26" ht="11.25" customHeight="1" x14ac:dyDescent="0.4">
      <c r="A158" s="7"/>
      <c r="B158" s="7"/>
      <c r="C158" s="9" t="s">
        <v>40</v>
      </c>
      <c r="D158" s="9"/>
      <c r="E158" s="8" t="s">
        <v>39</v>
      </c>
      <c r="F158" s="8" t="s">
        <v>42</v>
      </c>
      <c r="G158" s="8" t="s">
        <v>37</v>
      </c>
      <c r="H158" s="8" t="s">
        <v>39</v>
      </c>
      <c r="I158" s="8" t="s">
        <v>37</v>
      </c>
      <c r="J158" s="8" t="s">
        <v>39</v>
      </c>
      <c r="K158" s="8" t="s">
        <v>42</v>
      </c>
      <c r="L158" s="8" t="s">
        <v>41</v>
      </c>
      <c r="M158" s="8" t="s">
        <v>35</v>
      </c>
      <c r="N158" s="8" t="s">
        <v>35</v>
      </c>
      <c r="O158" s="8" t="s">
        <v>35</v>
      </c>
      <c r="P158" s="8" t="s">
        <v>41</v>
      </c>
      <c r="Q158" s="8" t="s">
        <v>35</v>
      </c>
      <c r="R158" s="8" t="s">
        <v>38</v>
      </c>
      <c r="S158" s="8" t="s">
        <v>37</v>
      </c>
      <c r="T158" s="8" t="s">
        <v>36</v>
      </c>
      <c r="U158" s="8"/>
      <c r="V158" s="8"/>
      <c r="W158" s="8"/>
      <c r="X158" s="8"/>
      <c r="Y158" s="17"/>
      <c r="Z158" s="17"/>
    </row>
    <row r="159" spans="1:26" ht="11.25" customHeight="1" x14ac:dyDescent="0.4">
      <c r="A159" s="7"/>
      <c r="B159" s="7"/>
      <c r="C159" s="10"/>
      <c r="D159" s="10"/>
      <c r="E159" s="11">
        <v>0.79166666666666663</v>
      </c>
      <c r="F159" s="11">
        <v>0.66666666666666663</v>
      </c>
      <c r="G159" s="11">
        <v>0.45833333333333331</v>
      </c>
      <c r="H159" s="11">
        <v>8.3333333333333329E-2</v>
      </c>
      <c r="I159" s="11">
        <v>0.875</v>
      </c>
      <c r="J159" s="11">
        <v>0.625</v>
      </c>
      <c r="K159" s="11">
        <v>8.3333333333333329E-2</v>
      </c>
      <c r="L159" s="11">
        <v>0.625</v>
      </c>
      <c r="M159" s="11">
        <v>0.33333333333333331</v>
      </c>
      <c r="N159" s="11">
        <v>0.33333333333333331</v>
      </c>
      <c r="O159" s="11">
        <v>0.70833333333333337</v>
      </c>
      <c r="P159" s="11">
        <v>0.20833333333333334</v>
      </c>
      <c r="Q159" s="11">
        <v>0.29166666666666669</v>
      </c>
      <c r="R159" s="11">
        <v>0.83333333333333337</v>
      </c>
      <c r="S159" s="11">
        <v>0.66666666666666663</v>
      </c>
      <c r="T159" s="11">
        <v>0.58333333333333337</v>
      </c>
      <c r="U159" s="8"/>
      <c r="V159" s="8"/>
      <c r="W159" s="8"/>
      <c r="X159" s="8"/>
      <c r="Y159" s="17"/>
      <c r="Z159" s="17"/>
    </row>
    <row r="160" spans="1:26" ht="11.25" customHeight="1" thickBot="1" x14ac:dyDescent="0.45">
      <c r="A160" s="7"/>
      <c r="B160" s="7"/>
      <c r="C160" s="13" t="s">
        <v>43</v>
      </c>
      <c r="D160" s="9"/>
      <c r="E160" s="9"/>
      <c r="F160" s="14">
        <f t="shared" ref="F160:U160" si="26">((MATCH(F156,{"MON","TUE","WED","THU","FRI","SAT","SUN"},0)+F157+IF(MATCH(F156,{"MON","TUE","WED","THU","FRI","SAT","SUN"},0)&lt;MATCH(E158,{"MON","TUE","WED","THU","FRI","SAT","SUN"},0),7,0))-(MATCH(E158,{"MON","TUE","WED","THU","FRI","SAT","SUN"},0)+E159))</f>
        <v>1.4166666666666665</v>
      </c>
      <c r="G160" s="14">
        <f t="shared" si="26"/>
        <v>3.916666666666667</v>
      </c>
      <c r="H160" s="14">
        <f t="shared" si="26"/>
        <v>2.166666666666667</v>
      </c>
      <c r="I160" s="14">
        <f t="shared" si="26"/>
        <v>2.5416666666666665</v>
      </c>
      <c r="J160" s="14">
        <f t="shared" si="26"/>
        <v>2.875</v>
      </c>
      <c r="K160" s="14">
        <f t="shared" si="26"/>
        <v>2</v>
      </c>
      <c r="L160" s="14">
        <f t="shared" si="26"/>
        <v>4.3750000000000009</v>
      </c>
      <c r="M160" s="14">
        <f t="shared" si="26"/>
        <v>5.7083333333333339</v>
      </c>
      <c r="N160" s="14">
        <f t="shared" si="26"/>
        <v>3.9999999999999991</v>
      </c>
      <c r="O160" s="14">
        <f t="shared" si="26"/>
        <v>6.4583333333333348</v>
      </c>
      <c r="P160" s="14">
        <f t="shared" si="26"/>
        <v>3.083333333333333</v>
      </c>
      <c r="Q160" s="14">
        <f t="shared" si="26"/>
        <v>1.7083333333333339</v>
      </c>
      <c r="R160" s="14">
        <f t="shared" si="26"/>
        <v>0.74999999999999911</v>
      </c>
      <c r="S160" s="14">
        <f t="shared" si="26"/>
        <v>2.9583333333333335</v>
      </c>
      <c r="T160" s="14">
        <f t="shared" si="26"/>
        <v>3.791666666666667</v>
      </c>
      <c r="U160" s="14">
        <f t="shared" si="26"/>
        <v>2.7083333333333335</v>
      </c>
      <c r="V160" s="13"/>
      <c r="W160" s="13"/>
      <c r="X160" s="13"/>
      <c r="Y160" s="17"/>
      <c r="Z160" s="17"/>
    </row>
    <row r="161" spans="1:26" ht="11.25" customHeight="1" x14ac:dyDescent="0.4">
      <c r="A161" s="5" t="s">
        <v>204</v>
      </c>
      <c r="B161" s="5" t="s">
        <v>205</v>
      </c>
      <c r="C161" s="6">
        <v>15000</v>
      </c>
      <c r="D161" s="6">
        <v>23</v>
      </c>
      <c r="E161" s="6" t="s">
        <v>168</v>
      </c>
      <c r="F161" s="6" t="s">
        <v>155</v>
      </c>
      <c r="G161" s="6" t="s">
        <v>154</v>
      </c>
      <c r="H161" s="6" t="s">
        <v>156</v>
      </c>
      <c r="I161" s="6" t="s">
        <v>206</v>
      </c>
      <c r="J161" s="6" t="s">
        <v>170</v>
      </c>
      <c r="K161" s="6" t="s">
        <v>9</v>
      </c>
      <c r="L161" s="6" t="s">
        <v>108</v>
      </c>
      <c r="M161" s="6" t="s">
        <v>10</v>
      </c>
      <c r="N161" s="6" t="s">
        <v>11</v>
      </c>
      <c r="O161" s="6" t="s">
        <v>15</v>
      </c>
      <c r="P161" s="6" t="s">
        <v>207</v>
      </c>
      <c r="Q161" s="6" t="s">
        <v>13</v>
      </c>
      <c r="R161" s="6" t="s">
        <v>15</v>
      </c>
      <c r="S161" s="6" t="s">
        <v>16</v>
      </c>
      <c r="T161" s="6" t="s">
        <v>17</v>
      </c>
      <c r="U161" s="6" t="s">
        <v>45</v>
      </c>
      <c r="V161" s="6" t="s">
        <v>18</v>
      </c>
      <c r="W161" s="6" t="s">
        <v>9</v>
      </c>
      <c r="X161" s="6" t="s">
        <v>168</v>
      </c>
      <c r="Y161" s="17"/>
      <c r="Z161" s="17"/>
    </row>
    <row r="162" spans="1:26" ht="11.25" customHeight="1" x14ac:dyDescent="0.4">
      <c r="A162" s="7"/>
      <c r="B162" s="7"/>
      <c r="C162" s="8" t="s">
        <v>20</v>
      </c>
      <c r="D162" s="8"/>
      <c r="E162" s="8" t="s">
        <v>171</v>
      </c>
      <c r="F162" s="8" t="s">
        <v>172</v>
      </c>
      <c r="G162" s="8" t="s">
        <v>173</v>
      </c>
      <c r="H162" s="8" t="s">
        <v>174</v>
      </c>
      <c r="I162" s="8" t="s">
        <v>208</v>
      </c>
      <c r="J162" s="8" t="s">
        <v>176</v>
      </c>
      <c r="K162" s="8" t="s">
        <v>23</v>
      </c>
      <c r="L162" s="8" t="s">
        <v>111</v>
      </c>
      <c r="M162" s="8" t="s">
        <v>24</v>
      </c>
      <c r="N162" s="8" t="s">
        <v>25</v>
      </c>
      <c r="O162" s="8" t="s">
        <v>57</v>
      </c>
      <c r="P162" s="8" t="s">
        <v>209</v>
      </c>
      <c r="Q162" s="8" t="s">
        <v>27</v>
      </c>
      <c r="R162" s="8" t="s">
        <v>29</v>
      </c>
      <c r="S162" s="8" t="s">
        <v>49</v>
      </c>
      <c r="T162" s="8" t="s">
        <v>133</v>
      </c>
      <c r="U162" s="8" t="s">
        <v>47</v>
      </c>
      <c r="V162" s="8" t="s">
        <v>32</v>
      </c>
      <c r="W162" s="8" t="s">
        <v>23</v>
      </c>
      <c r="X162" s="8" t="s">
        <v>171</v>
      </c>
      <c r="Y162" s="17"/>
      <c r="Z162" s="17"/>
    </row>
    <row r="163" spans="1:26" ht="11.25" customHeight="1" x14ac:dyDescent="0.4">
      <c r="A163" s="7"/>
      <c r="B163" s="7"/>
      <c r="C163" s="9" t="s">
        <v>34</v>
      </c>
      <c r="D163" s="9"/>
      <c r="E163" s="8" t="s">
        <v>37</v>
      </c>
      <c r="F163" s="8" t="s">
        <v>35</v>
      </c>
      <c r="G163" s="8" t="s">
        <v>36</v>
      </c>
      <c r="H163" s="8" t="s">
        <v>35</v>
      </c>
      <c r="I163" s="8" t="s">
        <v>41</v>
      </c>
      <c r="J163" s="8" t="s">
        <v>42</v>
      </c>
      <c r="K163" s="8" t="s">
        <v>41</v>
      </c>
      <c r="L163" s="8" t="s">
        <v>36</v>
      </c>
      <c r="M163" s="8" t="s">
        <v>35</v>
      </c>
      <c r="N163" s="8" t="s">
        <v>37</v>
      </c>
      <c r="O163" s="8" t="s">
        <v>36</v>
      </c>
      <c r="P163" s="8" t="s">
        <v>36</v>
      </c>
      <c r="Q163" s="8" t="s">
        <v>41</v>
      </c>
      <c r="R163" s="8" t="s">
        <v>42</v>
      </c>
      <c r="S163" s="8" t="s">
        <v>39</v>
      </c>
      <c r="T163" s="8" t="s">
        <v>37</v>
      </c>
      <c r="U163" s="8" t="s">
        <v>39</v>
      </c>
      <c r="V163" s="8" t="s">
        <v>41</v>
      </c>
      <c r="W163" s="8" t="s">
        <v>36</v>
      </c>
      <c r="X163" s="8" t="s">
        <v>37</v>
      </c>
      <c r="Y163" s="17"/>
      <c r="Z163" s="17"/>
    </row>
    <row r="164" spans="1:26" ht="11.25" customHeight="1" x14ac:dyDescent="0.4">
      <c r="A164" s="7"/>
      <c r="B164" s="7"/>
      <c r="C164" s="10"/>
      <c r="D164" s="10"/>
      <c r="E164" s="11">
        <v>0.29166666666666669</v>
      </c>
      <c r="F164" s="11">
        <v>0.83333333333333337</v>
      </c>
      <c r="G164" s="11">
        <v>0.58333333333333337</v>
      </c>
      <c r="H164" s="11">
        <v>0</v>
      </c>
      <c r="I164" s="11">
        <v>0.54166666666666663</v>
      </c>
      <c r="J164" s="11">
        <v>0.83333333333333337</v>
      </c>
      <c r="K164" s="11">
        <v>0.33333333333333331</v>
      </c>
      <c r="L164" s="11">
        <v>0.16666666666666666</v>
      </c>
      <c r="M164" s="11">
        <v>0.70833333333333337</v>
      </c>
      <c r="N164" s="11">
        <v>0.54166666666666663</v>
      </c>
      <c r="O164" s="11">
        <v>0</v>
      </c>
      <c r="P164" s="11">
        <v>0.33333333333333331</v>
      </c>
      <c r="Q164" s="11">
        <v>0.75</v>
      </c>
      <c r="R164" s="11">
        <v>0.33333333333333331</v>
      </c>
      <c r="S164" s="11">
        <v>0.66666666666666663</v>
      </c>
      <c r="T164" s="11">
        <v>0.20833333333333334</v>
      </c>
      <c r="U164" s="11">
        <v>0.20833333333333334</v>
      </c>
      <c r="V164" s="11">
        <v>0.75</v>
      </c>
      <c r="W164" s="11">
        <v>0.125</v>
      </c>
      <c r="X164" s="11">
        <v>0.29166666666666669</v>
      </c>
      <c r="Y164" s="17"/>
      <c r="Z164" s="17"/>
    </row>
    <row r="165" spans="1:26" ht="11.25" customHeight="1" x14ac:dyDescent="0.4">
      <c r="A165" s="7"/>
      <c r="B165" s="7"/>
      <c r="C165" s="9" t="s">
        <v>40</v>
      </c>
      <c r="D165" s="9"/>
      <c r="E165" s="8" t="s">
        <v>42</v>
      </c>
      <c r="F165" s="8" t="s">
        <v>39</v>
      </c>
      <c r="G165" s="8" t="s">
        <v>37</v>
      </c>
      <c r="H165" s="8" t="s">
        <v>36</v>
      </c>
      <c r="I165" s="8" t="s">
        <v>37</v>
      </c>
      <c r="J165" s="8" t="s">
        <v>38</v>
      </c>
      <c r="K165" s="8" t="s">
        <v>37</v>
      </c>
      <c r="L165" s="8" t="s">
        <v>41</v>
      </c>
      <c r="M165" s="8" t="s">
        <v>39</v>
      </c>
      <c r="N165" s="8" t="s">
        <v>42</v>
      </c>
      <c r="O165" s="8" t="s">
        <v>36</v>
      </c>
      <c r="P165" s="8" t="s">
        <v>39</v>
      </c>
      <c r="Q165" s="8" t="s">
        <v>42</v>
      </c>
      <c r="R165" s="8" t="s">
        <v>38</v>
      </c>
      <c r="S165" s="8" t="s">
        <v>41</v>
      </c>
      <c r="T165" s="8" t="s">
        <v>42</v>
      </c>
      <c r="U165" s="8" t="s">
        <v>39</v>
      </c>
      <c r="V165" s="8" t="s">
        <v>37</v>
      </c>
      <c r="W165" s="8" t="s">
        <v>41</v>
      </c>
      <c r="X165" s="8"/>
      <c r="Y165" s="17"/>
      <c r="Z165" s="17"/>
    </row>
    <row r="166" spans="1:26" ht="11.25" customHeight="1" x14ac:dyDescent="0.4">
      <c r="A166" s="7"/>
      <c r="B166" s="7"/>
      <c r="C166" s="10"/>
      <c r="D166" s="10"/>
      <c r="E166" s="11">
        <v>0.33333333333333331</v>
      </c>
      <c r="F166" s="11">
        <v>0.79166666666666663</v>
      </c>
      <c r="G166" s="11">
        <v>4.1666666666666664E-2</v>
      </c>
      <c r="H166" s="11">
        <v>0.91666666666666663</v>
      </c>
      <c r="I166" s="11">
        <v>0.79166666666666663</v>
      </c>
      <c r="J166" s="11">
        <v>0.79166666666666663</v>
      </c>
      <c r="K166" s="11">
        <v>0.95833333333333337</v>
      </c>
      <c r="L166" s="11">
        <v>0.83333333333333337</v>
      </c>
      <c r="M166" s="11">
        <v>0.16666666666666666</v>
      </c>
      <c r="N166" s="11">
        <v>0.95833333333333337</v>
      </c>
      <c r="O166" s="11">
        <v>0.83333333333333337</v>
      </c>
      <c r="P166" s="11">
        <v>0.54166666666666663</v>
      </c>
      <c r="Q166" s="11">
        <v>0.29166666666666669</v>
      </c>
      <c r="R166" s="11">
        <v>0.125</v>
      </c>
      <c r="S166" s="11">
        <v>0.16666666666666666</v>
      </c>
      <c r="T166" s="11">
        <v>0.66666666666666663</v>
      </c>
      <c r="U166" s="11">
        <v>0.95833333333333337</v>
      </c>
      <c r="V166" s="11">
        <v>0.75</v>
      </c>
      <c r="W166" s="11">
        <v>0.25</v>
      </c>
      <c r="X166" s="8"/>
      <c r="Y166" s="17"/>
      <c r="Z166" s="17"/>
    </row>
    <row r="167" spans="1:26" ht="11.25" customHeight="1" thickBot="1" x14ac:dyDescent="0.45">
      <c r="A167" s="12"/>
      <c r="B167" s="12"/>
      <c r="C167" s="13" t="s">
        <v>43</v>
      </c>
      <c r="D167" s="13"/>
      <c r="E167" s="13"/>
      <c r="F167" s="14">
        <f t="shared" ref="F167:O167" si="27">((MATCH(F163,{"MON","TUE","WED","THU","FRI","SAT","SUN"},0)+F164+IF(MATCH(F163,{"MON","TUE","WED","THU","FRI","SAT","SUN"},0)&lt;MATCH(E165,{"MON","TUE","WED","THU","FRI","SAT","SUN"},0),7,0))-(MATCH(E165,{"MON","TUE","WED","THU","FRI","SAT","SUN"},0)+E166))</f>
        <v>1.5</v>
      </c>
      <c r="G167" s="14">
        <f t="shared" si="27"/>
        <v>0.79166666666666696</v>
      </c>
      <c r="H167" s="14">
        <f t="shared" si="27"/>
        <v>1.958333333333333</v>
      </c>
      <c r="I167" s="14">
        <f t="shared" si="27"/>
        <v>0.62500000000000044</v>
      </c>
      <c r="J167" s="14">
        <f t="shared" si="27"/>
        <v>1.0416666666666661</v>
      </c>
      <c r="K167" s="14">
        <f t="shared" si="27"/>
        <v>2.5416666666666665</v>
      </c>
      <c r="L167" s="14">
        <f t="shared" si="27"/>
        <v>4.208333333333333</v>
      </c>
      <c r="M167" s="14">
        <f t="shared" si="27"/>
        <v>2.875</v>
      </c>
      <c r="N167" s="14">
        <f t="shared" si="27"/>
        <v>3.3750000000000004</v>
      </c>
      <c r="O167" s="14">
        <f t="shared" si="27"/>
        <v>3.041666666666667</v>
      </c>
      <c r="P167" s="14">
        <f t="array" ref="P167">((MATCH(P163,{"MON","TUE","WED","THU","FRI","SAT","SUN"},0)+P164+IF(MATCH(P163,{"MON","TUE","WED","THU","FRI","SAT","SUN"},0)&lt;MATCH(O165,{"MON","TUE","WED","THU","FRI","SAT","SUN"},0),7,0))-(MATCH(O165,{"MON","TUE","WED","THU","FRI","SAT","SUN"},0)+O166))+7</f>
        <v>6.5</v>
      </c>
      <c r="Q167" s="14">
        <f t="shared" ref="Q167:X167" si="28">((MATCH(Q163,{"MON","TUE","WED","THU","FRI","SAT","SUN"},0)+Q164+IF(MATCH(Q163,{"MON","TUE","WED","THU","FRI","SAT","SUN"},0)&lt;MATCH(P165,{"MON","TUE","WED","THU","FRI","SAT","SUN"},0),7,0))-(MATCH(P165,{"MON","TUE","WED","THU","FRI","SAT","SUN"},0)+P166))</f>
        <v>2.2083333333333335</v>
      </c>
      <c r="R167" s="14">
        <f t="shared" si="28"/>
        <v>4.1666666666666075E-2</v>
      </c>
      <c r="S167" s="14">
        <f t="shared" si="28"/>
        <v>1.5416666666666665</v>
      </c>
      <c r="T167" s="14">
        <f t="shared" si="28"/>
        <v>1.0416666666666661</v>
      </c>
      <c r="U167" s="14">
        <f t="shared" si="28"/>
        <v>2.541666666666667</v>
      </c>
      <c r="V167" s="14">
        <f t="shared" si="28"/>
        <v>1.7916666666666665</v>
      </c>
      <c r="W167" s="14">
        <f t="shared" si="28"/>
        <v>4.375</v>
      </c>
      <c r="X167" s="14">
        <f t="shared" si="28"/>
        <v>1.041666666666667</v>
      </c>
      <c r="Y167" s="17"/>
      <c r="Z167" s="17"/>
    </row>
    <row r="168" spans="1:26" ht="11.25" customHeight="1" x14ac:dyDescent="0.4">
      <c r="A168" s="17"/>
      <c r="B168" s="17"/>
      <c r="C168" s="17"/>
      <c r="D168" s="17"/>
      <c r="E168" s="17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17"/>
      <c r="R168" s="17"/>
      <c r="S168" s="17"/>
      <c r="T168" s="17"/>
      <c r="U168" s="17"/>
      <c r="V168" s="17"/>
      <c r="W168" s="17"/>
      <c r="X168" s="22"/>
      <c r="Y168" s="17"/>
      <c r="Z168" s="17"/>
    </row>
    <row r="169" spans="1:26" ht="12.75" customHeight="1" x14ac:dyDescent="0.4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1.25" customHeight="1" x14ac:dyDescent="0.4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1.25" customHeight="1" x14ac:dyDescent="0.4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1.25" customHeight="1" x14ac:dyDescent="0.4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1.25" customHeight="1" x14ac:dyDescent="0.4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1.25" customHeight="1" x14ac:dyDescent="0.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1.25" customHeight="1" x14ac:dyDescent="0.4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1.25" customHeight="1" x14ac:dyDescent="0.4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1.25" customHeight="1" x14ac:dyDescent="0.4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1.25" customHeight="1" x14ac:dyDescent="0.4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1.25" customHeight="1" x14ac:dyDescent="0.4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1.25" customHeight="1" x14ac:dyDescent="0.4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1.25" customHeight="1" x14ac:dyDescent="0.4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1.25" customHeight="1" x14ac:dyDescent="0.4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1.25" customHeight="1" x14ac:dyDescent="0.4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1.25" customHeight="1" x14ac:dyDescent="0.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1.25" customHeight="1" x14ac:dyDescent="0.4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1.25" customHeight="1" x14ac:dyDescent="0.4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1.25" customHeight="1" x14ac:dyDescent="0.4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1.25" customHeight="1" x14ac:dyDescent="0.4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1.25" customHeight="1" x14ac:dyDescent="0.4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1.25" customHeight="1" x14ac:dyDescent="0.4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1.25" customHeight="1" x14ac:dyDescent="0.4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1.25" customHeight="1" x14ac:dyDescent="0.4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1.25" customHeight="1" x14ac:dyDescent="0.4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1.25" customHeight="1" x14ac:dyDescent="0.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1.25" customHeight="1" x14ac:dyDescent="0.4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1.25" customHeight="1" x14ac:dyDescent="0.4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1.25" customHeight="1" x14ac:dyDescent="0.4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1.25" customHeight="1" x14ac:dyDescent="0.4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1.25" customHeight="1" x14ac:dyDescent="0.4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1.25" customHeight="1" x14ac:dyDescent="0.4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1.25" customHeight="1" x14ac:dyDescent="0.4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1.25" customHeight="1" x14ac:dyDescent="0.4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1.25" customHeight="1" x14ac:dyDescent="0.4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1.25" customHeight="1" x14ac:dyDescent="0.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1.25" customHeight="1" x14ac:dyDescent="0.4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1.25" customHeight="1" x14ac:dyDescent="0.4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1.25" customHeight="1" x14ac:dyDescent="0.4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1.25" customHeight="1" x14ac:dyDescent="0.4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1.25" customHeight="1" x14ac:dyDescent="0.4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1.25" customHeight="1" x14ac:dyDescent="0.4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1.25" customHeight="1" x14ac:dyDescent="0.4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1.25" customHeight="1" x14ac:dyDescent="0.4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1.25" customHeight="1" x14ac:dyDescent="0.4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1.25" customHeight="1" x14ac:dyDescent="0.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1.25" customHeight="1" x14ac:dyDescent="0.4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1.25" customHeight="1" x14ac:dyDescent="0.4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1.25" customHeight="1" x14ac:dyDescent="0.4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1.25" customHeight="1" x14ac:dyDescent="0.4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1.25" customHeight="1" x14ac:dyDescent="0.4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1.25" customHeight="1" x14ac:dyDescent="0.4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1.25" customHeight="1" x14ac:dyDescent="0.4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1.25" customHeight="1" x14ac:dyDescent="0.4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1.25" customHeight="1" x14ac:dyDescent="0.4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1.25" customHeight="1" x14ac:dyDescent="0.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1.25" customHeight="1" x14ac:dyDescent="0.4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1.25" customHeight="1" x14ac:dyDescent="0.4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1.25" customHeight="1" x14ac:dyDescent="0.4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1.25" customHeight="1" x14ac:dyDescent="0.4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1.25" customHeight="1" x14ac:dyDescent="0.4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1.25" customHeight="1" x14ac:dyDescent="0.4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1.25" customHeight="1" x14ac:dyDescent="0.4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1.25" customHeight="1" x14ac:dyDescent="0.4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1.25" customHeight="1" x14ac:dyDescent="0.4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1.25" customHeight="1" x14ac:dyDescent="0.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1.25" customHeight="1" x14ac:dyDescent="0.4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1.25" customHeight="1" x14ac:dyDescent="0.4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1.25" customHeight="1" x14ac:dyDescent="0.4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1.25" customHeight="1" x14ac:dyDescent="0.4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1.25" customHeight="1" x14ac:dyDescent="0.4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1.25" customHeight="1" x14ac:dyDescent="0.4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1.25" customHeight="1" x14ac:dyDescent="0.4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1.25" customHeight="1" x14ac:dyDescent="0.4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1.25" customHeight="1" x14ac:dyDescent="0.4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1.25" customHeight="1" x14ac:dyDescent="0.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1.25" customHeight="1" x14ac:dyDescent="0.4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1.25" customHeight="1" x14ac:dyDescent="0.4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1.25" customHeight="1" x14ac:dyDescent="0.4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1.25" customHeight="1" x14ac:dyDescent="0.4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1.25" customHeight="1" x14ac:dyDescent="0.4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1.25" customHeight="1" x14ac:dyDescent="0.4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1.25" customHeight="1" x14ac:dyDescent="0.4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1.25" customHeight="1" x14ac:dyDescent="0.4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1.25" customHeight="1" x14ac:dyDescent="0.4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1.25" customHeight="1" x14ac:dyDescent="0.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1.25" customHeight="1" x14ac:dyDescent="0.4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1.25" customHeight="1" x14ac:dyDescent="0.4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1.25" customHeight="1" x14ac:dyDescent="0.4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1.25" customHeight="1" x14ac:dyDescent="0.4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1.25" customHeight="1" x14ac:dyDescent="0.4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1.25" customHeight="1" x14ac:dyDescent="0.4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1.25" customHeight="1" x14ac:dyDescent="0.4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1.25" customHeight="1" x14ac:dyDescent="0.4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1.25" customHeight="1" x14ac:dyDescent="0.4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1.25" customHeight="1" x14ac:dyDescent="0.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1.25" customHeight="1" x14ac:dyDescent="0.4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1.25" customHeight="1" x14ac:dyDescent="0.4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1.25" customHeight="1" x14ac:dyDescent="0.4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1.25" customHeight="1" x14ac:dyDescent="0.4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1.25" customHeight="1" x14ac:dyDescent="0.4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1.25" customHeight="1" x14ac:dyDescent="0.4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1.25" customHeight="1" x14ac:dyDescent="0.4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1.25" customHeight="1" x14ac:dyDescent="0.4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1.25" customHeight="1" x14ac:dyDescent="0.4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1.25" customHeight="1" x14ac:dyDescent="0.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1.25" customHeight="1" x14ac:dyDescent="0.4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1.25" customHeight="1" x14ac:dyDescent="0.4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1.25" customHeight="1" x14ac:dyDescent="0.4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1.25" customHeight="1" x14ac:dyDescent="0.4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1.25" customHeight="1" x14ac:dyDescent="0.4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1.25" customHeight="1" x14ac:dyDescent="0.4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1.25" customHeight="1" x14ac:dyDescent="0.4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1.25" customHeight="1" x14ac:dyDescent="0.4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1.25" customHeight="1" x14ac:dyDescent="0.4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1.25" customHeight="1" x14ac:dyDescent="0.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1.25" customHeight="1" x14ac:dyDescent="0.4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1.25" customHeight="1" x14ac:dyDescent="0.4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1.25" customHeight="1" x14ac:dyDescent="0.4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1.25" customHeight="1" x14ac:dyDescent="0.4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1.25" customHeight="1" x14ac:dyDescent="0.4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1.25" customHeight="1" x14ac:dyDescent="0.4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1.25" customHeight="1" x14ac:dyDescent="0.4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1.25" customHeight="1" x14ac:dyDescent="0.4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1.25" customHeight="1" x14ac:dyDescent="0.4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1.25" customHeight="1" x14ac:dyDescent="0.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1.25" customHeight="1" x14ac:dyDescent="0.4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1.25" customHeight="1" x14ac:dyDescent="0.4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1.25" customHeight="1" x14ac:dyDescent="0.4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1.25" customHeight="1" x14ac:dyDescent="0.4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1.25" customHeight="1" x14ac:dyDescent="0.4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1.25" customHeight="1" x14ac:dyDescent="0.4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1.25" customHeight="1" x14ac:dyDescent="0.4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1.25" customHeight="1" x14ac:dyDescent="0.4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1.25" customHeight="1" x14ac:dyDescent="0.4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1.25" customHeight="1" x14ac:dyDescent="0.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1.25" customHeight="1" x14ac:dyDescent="0.4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1.25" customHeight="1" x14ac:dyDescent="0.4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1.25" customHeight="1" x14ac:dyDescent="0.4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1.25" customHeight="1" x14ac:dyDescent="0.4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1.25" customHeight="1" x14ac:dyDescent="0.4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1.25" customHeight="1" x14ac:dyDescent="0.4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1.25" customHeight="1" x14ac:dyDescent="0.4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1.25" customHeight="1" x14ac:dyDescent="0.4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1.25" customHeight="1" x14ac:dyDescent="0.4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1.25" customHeight="1" x14ac:dyDescent="0.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1.25" customHeight="1" x14ac:dyDescent="0.4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1.25" customHeight="1" x14ac:dyDescent="0.4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1.25" customHeight="1" x14ac:dyDescent="0.4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1.25" customHeight="1" x14ac:dyDescent="0.4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1.25" customHeight="1" x14ac:dyDescent="0.4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1.25" customHeight="1" x14ac:dyDescent="0.4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1.25" customHeight="1" x14ac:dyDescent="0.4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1.25" customHeight="1" x14ac:dyDescent="0.4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1.25" customHeight="1" x14ac:dyDescent="0.4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1.25" customHeight="1" x14ac:dyDescent="0.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1.25" customHeight="1" x14ac:dyDescent="0.4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1.25" customHeight="1" x14ac:dyDescent="0.4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1.25" customHeight="1" x14ac:dyDescent="0.4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1.25" customHeight="1" x14ac:dyDescent="0.4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1.25" customHeight="1" x14ac:dyDescent="0.4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1.25" customHeight="1" x14ac:dyDescent="0.4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1.25" customHeight="1" x14ac:dyDescent="0.4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1.25" customHeight="1" x14ac:dyDescent="0.4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1.25" customHeight="1" x14ac:dyDescent="0.4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1.25" customHeight="1" x14ac:dyDescent="0.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1.25" customHeight="1" x14ac:dyDescent="0.4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1.25" customHeight="1" x14ac:dyDescent="0.4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1.25" customHeight="1" x14ac:dyDescent="0.4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1.25" customHeight="1" x14ac:dyDescent="0.4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1.25" customHeight="1" x14ac:dyDescent="0.4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1.25" customHeight="1" x14ac:dyDescent="0.4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1.25" customHeight="1" x14ac:dyDescent="0.4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1.25" customHeight="1" x14ac:dyDescent="0.4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1.25" customHeight="1" x14ac:dyDescent="0.4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1.25" customHeight="1" x14ac:dyDescent="0.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1.25" customHeight="1" x14ac:dyDescent="0.4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1.25" customHeight="1" x14ac:dyDescent="0.4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1.25" customHeight="1" x14ac:dyDescent="0.4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1.25" customHeight="1" x14ac:dyDescent="0.4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1.25" customHeight="1" x14ac:dyDescent="0.4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1.25" customHeight="1" x14ac:dyDescent="0.4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1.25" customHeight="1" x14ac:dyDescent="0.4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1.25" customHeight="1" x14ac:dyDescent="0.4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1.25" customHeight="1" x14ac:dyDescent="0.4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1.25" customHeight="1" x14ac:dyDescent="0.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1.25" customHeight="1" x14ac:dyDescent="0.4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1.25" customHeight="1" x14ac:dyDescent="0.4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1.25" customHeight="1" x14ac:dyDescent="0.4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1.25" customHeight="1" x14ac:dyDescent="0.4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1.25" customHeight="1" x14ac:dyDescent="0.4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1.25" customHeight="1" x14ac:dyDescent="0.4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1.25" customHeight="1" x14ac:dyDescent="0.4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1.25" customHeight="1" x14ac:dyDescent="0.4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1.25" customHeight="1" x14ac:dyDescent="0.4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1.25" customHeight="1" x14ac:dyDescent="0.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1.25" customHeight="1" x14ac:dyDescent="0.4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1.25" customHeight="1" x14ac:dyDescent="0.4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1.25" customHeight="1" x14ac:dyDescent="0.4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1.25" customHeight="1" x14ac:dyDescent="0.4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1.25" customHeight="1" x14ac:dyDescent="0.4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1.25" customHeight="1" x14ac:dyDescent="0.4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1.25" customHeight="1" x14ac:dyDescent="0.4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1.25" customHeight="1" x14ac:dyDescent="0.4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1.25" customHeight="1" x14ac:dyDescent="0.4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1.25" customHeight="1" x14ac:dyDescent="0.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1.25" customHeight="1" x14ac:dyDescent="0.4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1.25" customHeight="1" x14ac:dyDescent="0.4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1.25" customHeight="1" x14ac:dyDescent="0.4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1.25" customHeight="1" x14ac:dyDescent="0.4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1.25" customHeight="1" x14ac:dyDescent="0.4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1.25" customHeight="1" x14ac:dyDescent="0.4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1.25" customHeight="1" x14ac:dyDescent="0.4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1.25" customHeight="1" x14ac:dyDescent="0.4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1.25" customHeight="1" x14ac:dyDescent="0.4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1.25" customHeight="1" x14ac:dyDescent="0.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1.25" customHeight="1" x14ac:dyDescent="0.4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1.25" customHeight="1" x14ac:dyDescent="0.4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1.25" customHeight="1" x14ac:dyDescent="0.4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1.25" customHeight="1" x14ac:dyDescent="0.4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1.25" customHeight="1" x14ac:dyDescent="0.4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1.25" customHeight="1" x14ac:dyDescent="0.4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1.25" customHeight="1" x14ac:dyDescent="0.4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1.25" customHeight="1" x14ac:dyDescent="0.4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1.25" customHeight="1" x14ac:dyDescent="0.4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1.25" customHeight="1" x14ac:dyDescent="0.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1.25" customHeight="1" x14ac:dyDescent="0.4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1.25" customHeight="1" x14ac:dyDescent="0.4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1.25" customHeight="1" x14ac:dyDescent="0.4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1.25" customHeight="1" x14ac:dyDescent="0.4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1.25" customHeight="1" x14ac:dyDescent="0.4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1.25" customHeight="1" x14ac:dyDescent="0.4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1.25" customHeight="1" x14ac:dyDescent="0.4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1.25" customHeight="1" x14ac:dyDescent="0.4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1.25" customHeight="1" x14ac:dyDescent="0.4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1.25" customHeight="1" x14ac:dyDescent="0.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1.25" customHeight="1" x14ac:dyDescent="0.4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1.25" customHeight="1" x14ac:dyDescent="0.4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1.25" customHeight="1" x14ac:dyDescent="0.4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1.25" customHeight="1" x14ac:dyDescent="0.4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1.25" customHeight="1" x14ac:dyDescent="0.4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1.25" customHeight="1" x14ac:dyDescent="0.4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1.25" customHeight="1" x14ac:dyDescent="0.4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1.25" customHeight="1" x14ac:dyDescent="0.4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1.25" customHeight="1" x14ac:dyDescent="0.4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1.25" customHeight="1" x14ac:dyDescent="0.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1.25" customHeight="1" x14ac:dyDescent="0.4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1.25" customHeight="1" x14ac:dyDescent="0.4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1.25" customHeight="1" x14ac:dyDescent="0.4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1.25" customHeight="1" x14ac:dyDescent="0.4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1.25" customHeight="1" x14ac:dyDescent="0.4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1.25" customHeight="1" x14ac:dyDescent="0.4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1.25" customHeight="1" x14ac:dyDescent="0.4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1.25" customHeight="1" x14ac:dyDescent="0.4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1.25" customHeight="1" x14ac:dyDescent="0.4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1.25" customHeight="1" x14ac:dyDescent="0.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1.25" customHeight="1" x14ac:dyDescent="0.4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1.25" customHeight="1" x14ac:dyDescent="0.4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1.25" customHeight="1" x14ac:dyDescent="0.4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1.25" customHeight="1" x14ac:dyDescent="0.4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1.25" customHeight="1" x14ac:dyDescent="0.4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1.25" customHeight="1" x14ac:dyDescent="0.4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1.25" customHeight="1" x14ac:dyDescent="0.4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1.25" customHeight="1" x14ac:dyDescent="0.4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1.25" customHeight="1" x14ac:dyDescent="0.4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1.25" customHeight="1" x14ac:dyDescent="0.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1.25" customHeight="1" x14ac:dyDescent="0.4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1.25" customHeight="1" x14ac:dyDescent="0.4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1.25" customHeight="1" x14ac:dyDescent="0.4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1.25" customHeight="1" x14ac:dyDescent="0.4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1.25" customHeight="1" x14ac:dyDescent="0.4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1.25" customHeight="1" x14ac:dyDescent="0.4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1.25" customHeight="1" x14ac:dyDescent="0.4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1.25" customHeight="1" x14ac:dyDescent="0.4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1.25" customHeight="1" x14ac:dyDescent="0.4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1.25" customHeight="1" x14ac:dyDescent="0.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1.25" customHeight="1" x14ac:dyDescent="0.4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1.25" customHeight="1" x14ac:dyDescent="0.4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1.25" customHeight="1" x14ac:dyDescent="0.4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1.25" customHeight="1" x14ac:dyDescent="0.4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1.25" customHeight="1" x14ac:dyDescent="0.4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1.25" customHeight="1" x14ac:dyDescent="0.4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1.25" customHeight="1" x14ac:dyDescent="0.4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1.25" customHeight="1" x14ac:dyDescent="0.4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1.25" customHeight="1" x14ac:dyDescent="0.4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1.25" customHeight="1" x14ac:dyDescent="0.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1.25" customHeight="1" x14ac:dyDescent="0.4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1.25" customHeight="1" x14ac:dyDescent="0.4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1.25" customHeight="1" x14ac:dyDescent="0.4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1.25" customHeight="1" x14ac:dyDescent="0.4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1.25" customHeight="1" x14ac:dyDescent="0.4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1.25" customHeight="1" x14ac:dyDescent="0.4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1.25" customHeight="1" x14ac:dyDescent="0.4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1.25" customHeight="1" x14ac:dyDescent="0.4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1.25" customHeight="1" x14ac:dyDescent="0.4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1.25" customHeight="1" x14ac:dyDescent="0.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1.25" customHeight="1" x14ac:dyDescent="0.4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1.25" customHeight="1" x14ac:dyDescent="0.4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1.25" customHeight="1" x14ac:dyDescent="0.4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1.25" customHeight="1" x14ac:dyDescent="0.4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1.25" customHeight="1" x14ac:dyDescent="0.4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1.25" customHeight="1" x14ac:dyDescent="0.4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1.25" customHeight="1" x14ac:dyDescent="0.4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1.25" customHeight="1" x14ac:dyDescent="0.4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1.25" customHeight="1" x14ac:dyDescent="0.4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1.25" customHeight="1" x14ac:dyDescent="0.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1.25" customHeight="1" x14ac:dyDescent="0.4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1.25" customHeight="1" x14ac:dyDescent="0.4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1.25" customHeight="1" x14ac:dyDescent="0.4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1.25" customHeight="1" x14ac:dyDescent="0.4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1.25" customHeight="1" x14ac:dyDescent="0.4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1.25" customHeight="1" x14ac:dyDescent="0.4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1.25" customHeight="1" x14ac:dyDescent="0.4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1.25" customHeight="1" x14ac:dyDescent="0.4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1.25" customHeight="1" x14ac:dyDescent="0.4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1.25" customHeight="1" x14ac:dyDescent="0.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1.25" customHeight="1" x14ac:dyDescent="0.4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1.25" customHeight="1" x14ac:dyDescent="0.4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1.25" customHeight="1" x14ac:dyDescent="0.4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1.25" customHeight="1" x14ac:dyDescent="0.4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1.25" customHeight="1" x14ac:dyDescent="0.4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1.25" customHeight="1" x14ac:dyDescent="0.4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1.25" customHeight="1" x14ac:dyDescent="0.4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1.25" customHeight="1" x14ac:dyDescent="0.4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1.25" customHeight="1" x14ac:dyDescent="0.4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1.25" customHeight="1" x14ac:dyDescent="0.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1.25" customHeight="1" x14ac:dyDescent="0.4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1.25" customHeight="1" x14ac:dyDescent="0.4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1.25" customHeight="1" x14ac:dyDescent="0.4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1.25" customHeight="1" x14ac:dyDescent="0.4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1.25" customHeight="1" x14ac:dyDescent="0.4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1.25" customHeight="1" x14ac:dyDescent="0.4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1.25" customHeight="1" x14ac:dyDescent="0.4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1.25" customHeight="1" x14ac:dyDescent="0.4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1.25" customHeight="1" x14ac:dyDescent="0.4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1.25" customHeight="1" x14ac:dyDescent="0.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1.25" customHeight="1" x14ac:dyDescent="0.4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1.25" customHeight="1" x14ac:dyDescent="0.4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1.25" customHeight="1" x14ac:dyDescent="0.4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1.25" customHeight="1" x14ac:dyDescent="0.4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1.25" customHeight="1" x14ac:dyDescent="0.4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1.25" customHeight="1" x14ac:dyDescent="0.4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1.25" customHeight="1" x14ac:dyDescent="0.4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1.25" customHeight="1" x14ac:dyDescent="0.4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1.25" customHeight="1" x14ac:dyDescent="0.4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1.25" customHeight="1" x14ac:dyDescent="0.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1.25" customHeight="1" x14ac:dyDescent="0.4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1.25" customHeight="1" x14ac:dyDescent="0.4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1.25" customHeight="1" x14ac:dyDescent="0.4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1.25" customHeight="1" x14ac:dyDescent="0.4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1.25" customHeight="1" x14ac:dyDescent="0.4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1.25" customHeight="1" x14ac:dyDescent="0.4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1.25" customHeight="1" x14ac:dyDescent="0.4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1.25" customHeight="1" x14ac:dyDescent="0.4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1.25" customHeight="1" x14ac:dyDescent="0.4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1.25" customHeight="1" x14ac:dyDescent="0.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1.25" customHeight="1" x14ac:dyDescent="0.4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1.25" customHeight="1" x14ac:dyDescent="0.4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1.25" customHeight="1" x14ac:dyDescent="0.4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1.25" customHeight="1" x14ac:dyDescent="0.4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1.25" customHeight="1" x14ac:dyDescent="0.4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1.25" customHeight="1" x14ac:dyDescent="0.4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1.25" customHeight="1" x14ac:dyDescent="0.4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1.25" customHeight="1" x14ac:dyDescent="0.4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1.25" customHeight="1" x14ac:dyDescent="0.4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1.25" customHeight="1" x14ac:dyDescent="0.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1.25" customHeight="1" x14ac:dyDescent="0.4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1.25" customHeight="1" x14ac:dyDescent="0.4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1.25" customHeight="1" x14ac:dyDescent="0.4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1.25" customHeight="1" x14ac:dyDescent="0.4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1.25" customHeight="1" x14ac:dyDescent="0.4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1.25" customHeight="1" x14ac:dyDescent="0.4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1.25" customHeight="1" x14ac:dyDescent="0.4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1.25" customHeight="1" x14ac:dyDescent="0.4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1.25" customHeight="1" x14ac:dyDescent="0.4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1.25" customHeight="1" x14ac:dyDescent="0.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1.25" customHeight="1" x14ac:dyDescent="0.4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1.25" customHeight="1" x14ac:dyDescent="0.4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1.25" customHeight="1" x14ac:dyDescent="0.4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1.25" customHeight="1" x14ac:dyDescent="0.4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1.25" customHeight="1" x14ac:dyDescent="0.4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1.25" customHeight="1" x14ac:dyDescent="0.4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1.25" customHeight="1" x14ac:dyDescent="0.4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1.25" customHeight="1" x14ac:dyDescent="0.4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1.25" customHeight="1" x14ac:dyDescent="0.4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1.25" customHeight="1" x14ac:dyDescent="0.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1.25" customHeight="1" x14ac:dyDescent="0.4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1.25" customHeight="1" x14ac:dyDescent="0.4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1.25" customHeight="1" x14ac:dyDescent="0.4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1.25" customHeight="1" x14ac:dyDescent="0.4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1.25" customHeight="1" x14ac:dyDescent="0.4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1.25" customHeight="1" x14ac:dyDescent="0.4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1.25" customHeight="1" x14ac:dyDescent="0.4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1.25" customHeight="1" x14ac:dyDescent="0.4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1.25" customHeight="1" x14ac:dyDescent="0.4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1.25" customHeight="1" x14ac:dyDescent="0.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1.25" customHeight="1" x14ac:dyDescent="0.4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1.25" customHeight="1" x14ac:dyDescent="0.4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1.25" customHeight="1" x14ac:dyDescent="0.4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1.25" customHeight="1" x14ac:dyDescent="0.4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1.25" customHeight="1" x14ac:dyDescent="0.4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1.25" customHeight="1" x14ac:dyDescent="0.4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1.25" customHeight="1" x14ac:dyDescent="0.4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1.25" customHeight="1" x14ac:dyDescent="0.4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1.25" customHeight="1" x14ac:dyDescent="0.4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1.25" customHeight="1" x14ac:dyDescent="0.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1.25" customHeight="1" x14ac:dyDescent="0.4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1.25" customHeight="1" x14ac:dyDescent="0.4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1.25" customHeight="1" x14ac:dyDescent="0.4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1.25" customHeight="1" x14ac:dyDescent="0.4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1.25" customHeight="1" x14ac:dyDescent="0.4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1.25" customHeight="1" x14ac:dyDescent="0.4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1.25" customHeight="1" x14ac:dyDescent="0.4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1.25" customHeight="1" x14ac:dyDescent="0.4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1.25" customHeight="1" x14ac:dyDescent="0.4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1.25" customHeight="1" x14ac:dyDescent="0.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1.25" customHeight="1" x14ac:dyDescent="0.4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1.25" customHeight="1" x14ac:dyDescent="0.4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1.25" customHeight="1" x14ac:dyDescent="0.4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1.25" customHeight="1" x14ac:dyDescent="0.4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1.25" customHeight="1" x14ac:dyDescent="0.4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1.25" customHeight="1" x14ac:dyDescent="0.4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1.25" customHeight="1" x14ac:dyDescent="0.4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1.25" customHeight="1" x14ac:dyDescent="0.4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1.25" customHeight="1" x14ac:dyDescent="0.4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1.25" customHeight="1" x14ac:dyDescent="0.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1.25" customHeight="1" x14ac:dyDescent="0.4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1.25" customHeight="1" x14ac:dyDescent="0.4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1.25" customHeight="1" x14ac:dyDescent="0.4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1.25" customHeight="1" x14ac:dyDescent="0.4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1.25" customHeight="1" x14ac:dyDescent="0.4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1.25" customHeight="1" x14ac:dyDescent="0.4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1.25" customHeight="1" x14ac:dyDescent="0.4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1.25" customHeight="1" x14ac:dyDescent="0.4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1.25" customHeight="1" x14ac:dyDescent="0.4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1.25" customHeight="1" x14ac:dyDescent="0.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1.25" customHeight="1" x14ac:dyDescent="0.4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1.25" customHeight="1" x14ac:dyDescent="0.4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1.25" customHeight="1" x14ac:dyDescent="0.4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1.25" customHeight="1" x14ac:dyDescent="0.4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1.25" customHeight="1" x14ac:dyDescent="0.4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1.25" customHeight="1" x14ac:dyDescent="0.4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1.25" customHeight="1" x14ac:dyDescent="0.4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1.25" customHeight="1" x14ac:dyDescent="0.4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1.25" customHeight="1" x14ac:dyDescent="0.4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1.25" customHeight="1" x14ac:dyDescent="0.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1.25" customHeight="1" x14ac:dyDescent="0.4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1.25" customHeight="1" x14ac:dyDescent="0.4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1.25" customHeight="1" x14ac:dyDescent="0.4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1.25" customHeight="1" x14ac:dyDescent="0.4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1.25" customHeight="1" x14ac:dyDescent="0.4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1.25" customHeight="1" x14ac:dyDescent="0.4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1.25" customHeight="1" x14ac:dyDescent="0.4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1.25" customHeight="1" x14ac:dyDescent="0.4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1.25" customHeight="1" x14ac:dyDescent="0.4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1.25" customHeight="1" x14ac:dyDescent="0.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1.25" customHeight="1" x14ac:dyDescent="0.4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1.25" customHeight="1" x14ac:dyDescent="0.4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1.25" customHeight="1" x14ac:dyDescent="0.4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1.25" customHeight="1" x14ac:dyDescent="0.4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1.25" customHeight="1" x14ac:dyDescent="0.4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1.25" customHeight="1" x14ac:dyDescent="0.4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1.25" customHeight="1" x14ac:dyDescent="0.4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1.25" customHeight="1" x14ac:dyDescent="0.4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1.25" customHeight="1" x14ac:dyDescent="0.4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1.25" customHeight="1" x14ac:dyDescent="0.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1.25" customHeight="1" x14ac:dyDescent="0.4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1.25" customHeight="1" x14ac:dyDescent="0.4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1.25" customHeight="1" x14ac:dyDescent="0.4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1.25" customHeight="1" x14ac:dyDescent="0.4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1.25" customHeight="1" x14ac:dyDescent="0.4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1.25" customHeight="1" x14ac:dyDescent="0.4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1.25" customHeight="1" x14ac:dyDescent="0.4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1.25" customHeight="1" x14ac:dyDescent="0.4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1.25" customHeight="1" x14ac:dyDescent="0.4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1.25" customHeight="1" x14ac:dyDescent="0.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1.25" customHeight="1" x14ac:dyDescent="0.4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1.25" customHeight="1" x14ac:dyDescent="0.4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1.25" customHeight="1" x14ac:dyDescent="0.4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1.25" customHeight="1" x14ac:dyDescent="0.4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1.25" customHeight="1" x14ac:dyDescent="0.4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1.25" customHeight="1" x14ac:dyDescent="0.4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1.25" customHeight="1" x14ac:dyDescent="0.4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1.25" customHeight="1" x14ac:dyDescent="0.4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1.25" customHeight="1" x14ac:dyDescent="0.4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1.25" customHeight="1" x14ac:dyDescent="0.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1.25" customHeight="1" x14ac:dyDescent="0.4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1.25" customHeight="1" x14ac:dyDescent="0.4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1.25" customHeight="1" x14ac:dyDescent="0.4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1.25" customHeight="1" x14ac:dyDescent="0.4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1.25" customHeight="1" x14ac:dyDescent="0.4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1.25" customHeight="1" x14ac:dyDescent="0.4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1.25" customHeight="1" x14ac:dyDescent="0.4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1.25" customHeight="1" x14ac:dyDescent="0.4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1.25" customHeight="1" x14ac:dyDescent="0.4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1.25" customHeight="1" x14ac:dyDescent="0.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1.25" customHeight="1" x14ac:dyDescent="0.4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1.25" customHeight="1" x14ac:dyDescent="0.4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1.25" customHeight="1" x14ac:dyDescent="0.4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1.25" customHeight="1" x14ac:dyDescent="0.4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1.25" customHeight="1" x14ac:dyDescent="0.4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1.25" customHeight="1" x14ac:dyDescent="0.4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1.25" customHeight="1" x14ac:dyDescent="0.4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1.25" customHeight="1" x14ac:dyDescent="0.4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1.25" customHeight="1" x14ac:dyDescent="0.4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1.25" customHeight="1" x14ac:dyDescent="0.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1.25" customHeight="1" x14ac:dyDescent="0.4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1.25" customHeight="1" x14ac:dyDescent="0.4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1.25" customHeight="1" x14ac:dyDescent="0.4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1.25" customHeight="1" x14ac:dyDescent="0.4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1.25" customHeight="1" x14ac:dyDescent="0.4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1.25" customHeight="1" x14ac:dyDescent="0.4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1.25" customHeight="1" x14ac:dyDescent="0.4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1.25" customHeight="1" x14ac:dyDescent="0.4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1.25" customHeight="1" x14ac:dyDescent="0.4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1.25" customHeight="1" x14ac:dyDescent="0.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1.25" customHeight="1" x14ac:dyDescent="0.4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1.25" customHeight="1" x14ac:dyDescent="0.4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1.25" customHeight="1" x14ac:dyDescent="0.4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1.25" customHeight="1" x14ac:dyDescent="0.4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1.25" customHeight="1" x14ac:dyDescent="0.4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1.25" customHeight="1" x14ac:dyDescent="0.4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1.25" customHeight="1" x14ac:dyDescent="0.4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1.25" customHeight="1" x14ac:dyDescent="0.4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1.25" customHeight="1" x14ac:dyDescent="0.4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1.25" customHeight="1" x14ac:dyDescent="0.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1.25" customHeight="1" x14ac:dyDescent="0.4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1.25" customHeight="1" x14ac:dyDescent="0.4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1.25" customHeight="1" x14ac:dyDescent="0.4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1.25" customHeight="1" x14ac:dyDescent="0.4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1.25" customHeight="1" x14ac:dyDescent="0.4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1.25" customHeight="1" x14ac:dyDescent="0.4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1.25" customHeight="1" x14ac:dyDescent="0.4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1.25" customHeight="1" x14ac:dyDescent="0.4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1.25" customHeight="1" x14ac:dyDescent="0.4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1.25" customHeight="1" x14ac:dyDescent="0.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1.25" customHeight="1" x14ac:dyDescent="0.4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1.25" customHeight="1" x14ac:dyDescent="0.4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1.25" customHeight="1" x14ac:dyDescent="0.4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1.25" customHeight="1" x14ac:dyDescent="0.4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1.25" customHeight="1" x14ac:dyDescent="0.4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1.25" customHeight="1" x14ac:dyDescent="0.4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1.25" customHeight="1" x14ac:dyDescent="0.4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1.25" customHeight="1" x14ac:dyDescent="0.4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1.25" customHeight="1" x14ac:dyDescent="0.4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1.25" customHeight="1" x14ac:dyDescent="0.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1.25" customHeight="1" x14ac:dyDescent="0.4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1.25" customHeight="1" x14ac:dyDescent="0.4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1.25" customHeight="1" x14ac:dyDescent="0.4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1.25" customHeight="1" x14ac:dyDescent="0.4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1.25" customHeight="1" x14ac:dyDescent="0.4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1.25" customHeight="1" x14ac:dyDescent="0.4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1.25" customHeight="1" x14ac:dyDescent="0.4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1.25" customHeight="1" x14ac:dyDescent="0.4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1.25" customHeight="1" x14ac:dyDescent="0.4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1.25" customHeight="1" x14ac:dyDescent="0.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1.25" customHeight="1" x14ac:dyDescent="0.4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1.25" customHeight="1" x14ac:dyDescent="0.4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1.25" customHeight="1" x14ac:dyDescent="0.4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1.25" customHeight="1" x14ac:dyDescent="0.4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1.25" customHeight="1" x14ac:dyDescent="0.4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1.25" customHeight="1" x14ac:dyDescent="0.4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1.25" customHeight="1" x14ac:dyDescent="0.4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1.25" customHeight="1" x14ac:dyDescent="0.4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1.25" customHeight="1" x14ac:dyDescent="0.4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1.25" customHeight="1" x14ac:dyDescent="0.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1.25" customHeight="1" x14ac:dyDescent="0.4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1.25" customHeight="1" x14ac:dyDescent="0.4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1.25" customHeight="1" x14ac:dyDescent="0.4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1.25" customHeight="1" x14ac:dyDescent="0.4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1.25" customHeight="1" x14ac:dyDescent="0.4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1.25" customHeight="1" x14ac:dyDescent="0.4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1.25" customHeight="1" x14ac:dyDescent="0.4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1.25" customHeight="1" x14ac:dyDescent="0.4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1.25" customHeight="1" x14ac:dyDescent="0.4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1.25" customHeight="1" x14ac:dyDescent="0.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1.25" customHeight="1" x14ac:dyDescent="0.4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1.25" customHeight="1" x14ac:dyDescent="0.4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1.25" customHeight="1" x14ac:dyDescent="0.4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1.25" customHeight="1" x14ac:dyDescent="0.4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1.25" customHeight="1" x14ac:dyDescent="0.4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1.25" customHeight="1" x14ac:dyDescent="0.4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1.25" customHeight="1" x14ac:dyDescent="0.4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1.25" customHeight="1" x14ac:dyDescent="0.4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1.25" customHeight="1" x14ac:dyDescent="0.4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1.25" customHeight="1" x14ac:dyDescent="0.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1.25" customHeight="1" x14ac:dyDescent="0.4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1.25" customHeight="1" x14ac:dyDescent="0.4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1.25" customHeight="1" x14ac:dyDescent="0.4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1.25" customHeight="1" x14ac:dyDescent="0.4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1.25" customHeight="1" x14ac:dyDescent="0.4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1.25" customHeight="1" x14ac:dyDescent="0.4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1.25" customHeight="1" x14ac:dyDescent="0.4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1.25" customHeight="1" x14ac:dyDescent="0.4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1.25" customHeight="1" x14ac:dyDescent="0.4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1.25" customHeight="1" x14ac:dyDescent="0.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1.25" customHeight="1" x14ac:dyDescent="0.4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1.25" customHeight="1" x14ac:dyDescent="0.4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1.25" customHeight="1" x14ac:dyDescent="0.4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1.25" customHeight="1" x14ac:dyDescent="0.4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1.25" customHeight="1" x14ac:dyDescent="0.4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1.25" customHeight="1" x14ac:dyDescent="0.4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1.25" customHeight="1" x14ac:dyDescent="0.4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1.25" customHeight="1" x14ac:dyDescent="0.4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1.25" customHeight="1" x14ac:dyDescent="0.4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1.25" customHeight="1" x14ac:dyDescent="0.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1.25" customHeight="1" x14ac:dyDescent="0.4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1.25" customHeight="1" x14ac:dyDescent="0.4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1.25" customHeight="1" x14ac:dyDescent="0.4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1.25" customHeight="1" x14ac:dyDescent="0.4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1.25" customHeight="1" x14ac:dyDescent="0.4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1.25" customHeight="1" x14ac:dyDescent="0.4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1.25" customHeight="1" x14ac:dyDescent="0.4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1.25" customHeight="1" x14ac:dyDescent="0.4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1.25" customHeight="1" x14ac:dyDescent="0.4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1.25" customHeight="1" x14ac:dyDescent="0.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1.25" customHeight="1" x14ac:dyDescent="0.4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1.25" customHeight="1" x14ac:dyDescent="0.4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1.25" customHeight="1" x14ac:dyDescent="0.4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1.25" customHeight="1" x14ac:dyDescent="0.4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1.25" customHeight="1" x14ac:dyDescent="0.4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1.25" customHeight="1" x14ac:dyDescent="0.4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1.25" customHeight="1" x14ac:dyDescent="0.4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1.25" customHeight="1" x14ac:dyDescent="0.4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1.25" customHeight="1" x14ac:dyDescent="0.4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1.25" customHeight="1" x14ac:dyDescent="0.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1.25" customHeight="1" x14ac:dyDescent="0.4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1.25" customHeight="1" x14ac:dyDescent="0.4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1.25" customHeight="1" x14ac:dyDescent="0.4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1.25" customHeight="1" x14ac:dyDescent="0.4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1.25" customHeight="1" x14ac:dyDescent="0.4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1.25" customHeight="1" x14ac:dyDescent="0.4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1.25" customHeight="1" x14ac:dyDescent="0.4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1.25" customHeight="1" x14ac:dyDescent="0.4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1.25" customHeight="1" x14ac:dyDescent="0.4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1.25" customHeight="1" x14ac:dyDescent="0.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1.25" customHeight="1" x14ac:dyDescent="0.4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1.25" customHeight="1" x14ac:dyDescent="0.4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1.25" customHeight="1" x14ac:dyDescent="0.4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1.25" customHeight="1" x14ac:dyDescent="0.4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1.25" customHeight="1" x14ac:dyDescent="0.4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1.25" customHeight="1" x14ac:dyDescent="0.4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1.25" customHeight="1" x14ac:dyDescent="0.4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1.25" customHeight="1" x14ac:dyDescent="0.4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1.25" customHeight="1" x14ac:dyDescent="0.4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1.25" customHeight="1" x14ac:dyDescent="0.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1.25" customHeight="1" x14ac:dyDescent="0.4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1.25" customHeight="1" x14ac:dyDescent="0.4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1.25" customHeight="1" x14ac:dyDescent="0.4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1.25" customHeight="1" x14ac:dyDescent="0.4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1.25" customHeight="1" x14ac:dyDescent="0.4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1.25" customHeight="1" x14ac:dyDescent="0.4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1.25" customHeight="1" x14ac:dyDescent="0.4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1.25" customHeight="1" x14ac:dyDescent="0.4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1.25" customHeight="1" x14ac:dyDescent="0.4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1.25" customHeight="1" x14ac:dyDescent="0.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1.25" customHeight="1" x14ac:dyDescent="0.4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1.25" customHeight="1" x14ac:dyDescent="0.4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1.25" customHeight="1" x14ac:dyDescent="0.4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1.25" customHeight="1" x14ac:dyDescent="0.4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1.25" customHeight="1" x14ac:dyDescent="0.4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1.25" customHeight="1" x14ac:dyDescent="0.4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1.25" customHeight="1" x14ac:dyDescent="0.4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1.25" customHeight="1" x14ac:dyDescent="0.4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1.25" customHeight="1" x14ac:dyDescent="0.4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1.25" customHeight="1" x14ac:dyDescent="0.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1.25" customHeight="1" x14ac:dyDescent="0.4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1.25" customHeight="1" x14ac:dyDescent="0.4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1.25" customHeight="1" x14ac:dyDescent="0.4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1.25" customHeight="1" x14ac:dyDescent="0.4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1.25" customHeight="1" x14ac:dyDescent="0.4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1.25" customHeight="1" x14ac:dyDescent="0.4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1.25" customHeight="1" x14ac:dyDescent="0.4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1.25" customHeight="1" x14ac:dyDescent="0.4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1.25" customHeight="1" x14ac:dyDescent="0.4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1.25" customHeight="1" x14ac:dyDescent="0.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1.25" customHeight="1" x14ac:dyDescent="0.4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1.25" customHeight="1" x14ac:dyDescent="0.4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1.25" customHeight="1" x14ac:dyDescent="0.4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1.25" customHeight="1" x14ac:dyDescent="0.4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1.25" customHeight="1" x14ac:dyDescent="0.4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1.25" customHeight="1" x14ac:dyDescent="0.4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1.25" customHeight="1" x14ac:dyDescent="0.4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1.25" customHeight="1" x14ac:dyDescent="0.4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1.25" customHeight="1" x14ac:dyDescent="0.4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1.25" customHeight="1" x14ac:dyDescent="0.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1.25" customHeight="1" x14ac:dyDescent="0.4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1.25" customHeight="1" x14ac:dyDescent="0.4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1.25" customHeight="1" x14ac:dyDescent="0.4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1.25" customHeight="1" x14ac:dyDescent="0.4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1.25" customHeight="1" x14ac:dyDescent="0.4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1.25" customHeight="1" x14ac:dyDescent="0.4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1.25" customHeight="1" x14ac:dyDescent="0.4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1.25" customHeight="1" x14ac:dyDescent="0.4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1.25" customHeight="1" x14ac:dyDescent="0.4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1.25" customHeight="1" x14ac:dyDescent="0.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1.25" customHeight="1" x14ac:dyDescent="0.4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1.25" customHeight="1" x14ac:dyDescent="0.4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1.25" customHeight="1" x14ac:dyDescent="0.4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1.25" customHeight="1" x14ac:dyDescent="0.4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1.25" customHeight="1" x14ac:dyDescent="0.4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1.25" customHeight="1" x14ac:dyDescent="0.4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1.25" customHeight="1" x14ac:dyDescent="0.4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1.25" customHeight="1" x14ac:dyDescent="0.4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1.25" customHeight="1" x14ac:dyDescent="0.4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1.25" customHeight="1" x14ac:dyDescent="0.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1.25" customHeight="1" x14ac:dyDescent="0.4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1.25" customHeight="1" x14ac:dyDescent="0.4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1.25" customHeight="1" x14ac:dyDescent="0.4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1.25" customHeight="1" x14ac:dyDescent="0.4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1.25" customHeight="1" x14ac:dyDescent="0.4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1.25" customHeight="1" x14ac:dyDescent="0.4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1.25" customHeight="1" x14ac:dyDescent="0.4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1.25" customHeight="1" x14ac:dyDescent="0.4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1.25" customHeight="1" x14ac:dyDescent="0.4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1.25" customHeight="1" x14ac:dyDescent="0.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1.25" customHeight="1" x14ac:dyDescent="0.4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1.25" customHeight="1" x14ac:dyDescent="0.4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1.25" customHeight="1" x14ac:dyDescent="0.4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1.25" customHeight="1" x14ac:dyDescent="0.4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1.25" customHeight="1" x14ac:dyDescent="0.4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1.25" customHeight="1" x14ac:dyDescent="0.4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1.25" customHeight="1" x14ac:dyDescent="0.4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1.25" customHeight="1" x14ac:dyDescent="0.4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1.25" customHeight="1" x14ac:dyDescent="0.4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1.25" customHeight="1" x14ac:dyDescent="0.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1.25" customHeight="1" x14ac:dyDescent="0.4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1.25" customHeight="1" x14ac:dyDescent="0.4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1.25" customHeight="1" x14ac:dyDescent="0.4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1.25" customHeight="1" x14ac:dyDescent="0.4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1.25" customHeight="1" x14ac:dyDescent="0.4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1.25" customHeight="1" x14ac:dyDescent="0.4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1.25" customHeight="1" x14ac:dyDescent="0.4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1.25" customHeight="1" x14ac:dyDescent="0.4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1.25" customHeight="1" x14ac:dyDescent="0.4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1.25" customHeight="1" x14ac:dyDescent="0.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1.25" customHeight="1" x14ac:dyDescent="0.4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1.25" customHeight="1" x14ac:dyDescent="0.4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1.25" customHeight="1" x14ac:dyDescent="0.4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1.25" customHeight="1" x14ac:dyDescent="0.4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1.25" customHeight="1" x14ac:dyDescent="0.4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1.25" customHeight="1" x14ac:dyDescent="0.4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1.25" customHeight="1" x14ac:dyDescent="0.4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1.25" customHeight="1" x14ac:dyDescent="0.4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1.25" customHeight="1" x14ac:dyDescent="0.4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1.25" customHeight="1" x14ac:dyDescent="0.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1.25" customHeight="1" x14ac:dyDescent="0.4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1.25" customHeight="1" x14ac:dyDescent="0.4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1.25" customHeight="1" x14ac:dyDescent="0.4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1.25" customHeight="1" x14ac:dyDescent="0.4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1.25" customHeight="1" x14ac:dyDescent="0.4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1.25" customHeight="1" x14ac:dyDescent="0.4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1.25" customHeight="1" x14ac:dyDescent="0.4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1.25" customHeight="1" x14ac:dyDescent="0.4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1.25" customHeight="1" x14ac:dyDescent="0.4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1.25" customHeight="1" x14ac:dyDescent="0.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1.25" customHeight="1" x14ac:dyDescent="0.4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1.25" customHeight="1" x14ac:dyDescent="0.4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1.25" customHeight="1" x14ac:dyDescent="0.4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1.25" customHeight="1" x14ac:dyDescent="0.4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1.25" customHeight="1" x14ac:dyDescent="0.4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1.25" customHeight="1" x14ac:dyDescent="0.4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1.25" customHeight="1" x14ac:dyDescent="0.4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1.25" customHeight="1" x14ac:dyDescent="0.4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1.25" customHeight="1" x14ac:dyDescent="0.4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1.25" customHeight="1" x14ac:dyDescent="0.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1.25" customHeight="1" x14ac:dyDescent="0.4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1.25" customHeight="1" x14ac:dyDescent="0.4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1.25" customHeight="1" x14ac:dyDescent="0.4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1.25" customHeight="1" x14ac:dyDescent="0.4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1.25" customHeight="1" x14ac:dyDescent="0.4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1.25" customHeight="1" x14ac:dyDescent="0.4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1.25" customHeight="1" x14ac:dyDescent="0.4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1.25" customHeight="1" x14ac:dyDescent="0.4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1.25" customHeight="1" x14ac:dyDescent="0.4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1.25" customHeight="1" x14ac:dyDescent="0.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1.25" customHeight="1" x14ac:dyDescent="0.4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1.25" customHeight="1" x14ac:dyDescent="0.4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1.25" customHeight="1" x14ac:dyDescent="0.4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1.25" customHeight="1" x14ac:dyDescent="0.4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1.25" customHeight="1" x14ac:dyDescent="0.4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1.25" customHeight="1" x14ac:dyDescent="0.4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1.25" customHeight="1" x14ac:dyDescent="0.4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1.25" customHeight="1" x14ac:dyDescent="0.4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1.25" customHeight="1" x14ac:dyDescent="0.4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1.25" customHeight="1" x14ac:dyDescent="0.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1.25" customHeight="1" x14ac:dyDescent="0.4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1.25" customHeight="1" x14ac:dyDescent="0.4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1.25" customHeight="1" x14ac:dyDescent="0.4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1.25" customHeight="1" x14ac:dyDescent="0.4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1.25" customHeight="1" x14ac:dyDescent="0.4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1.25" customHeight="1" x14ac:dyDescent="0.4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1.25" customHeight="1" x14ac:dyDescent="0.4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1.25" customHeight="1" x14ac:dyDescent="0.4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1.25" customHeight="1" x14ac:dyDescent="0.4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1.25" customHeight="1" x14ac:dyDescent="0.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1.25" customHeight="1" x14ac:dyDescent="0.4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1.25" customHeight="1" x14ac:dyDescent="0.4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1.25" customHeight="1" x14ac:dyDescent="0.4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1.25" customHeight="1" x14ac:dyDescent="0.4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1.25" customHeight="1" x14ac:dyDescent="0.4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1.25" customHeight="1" x14ac:dyDescent="0.4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1.25" customHeight="1" x14ac:dyDescent="0.4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1.25" customHeight="1" x14ac:dyDescent="0.4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1.25" customHeight="1" x14ac:dyDescent="0.4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1.25" customHeight="1" x14ac:dyDescent="0.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1.25" customHeight="1" x14ac:dyDescent="0.4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1.25" customHeight="1" x14ac:dyDescent="0.4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1.25" customHeight="1" x14ac:dyDescent="0.4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1.25" customHeight="1" x14ac:dyDescent="0.4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1.25" customHeight="1" x14ac:dyDescent="0.4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1.25" customHeight="1" x14ac:dyDescent="0.4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1.25" customHeight="1" x14ac:dyDescent="0.4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1.25" customHeight="1" x14ac:dyDescent="0.4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1.25" customHeight="1" x14ac:dyDescent="0.4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1.25" customHeight="1" x14ac:dyDescent="0.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1.25" customHeight="1" x14ac:dyDescent="0.4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1.25" customHeight="1" x14ac:dyDescent="0.4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1.25" customHeight="1" x14ac:dyDescent="0.4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1.25" customHeight="1" x14ac:dyDescent="0.4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1.25" customHeight="1" x14ac:dyDescent="0.4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1.25" customHeight="1" x14ac:dyDescent="0.4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1.25" customHeight="1" x14ac:dyDescent="0.4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1.25" customHeight="1" x14ac:dyDescent="0.4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1.25" customHeight="1" x14ac:dyDescent="0.4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1.25" customHeight="1" x14ac:dyDescent="0.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1.25" customHeight="1" x14ac:dyDescent="0.4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1.25" customHeight="1" x14ac:dyDescent="0.4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1.25" customHeight="1" x14ac:dyDescent="0.4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1.25" customHeight="1" x14ac:dyDescent="0.4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1.25" customHeight="1" x14ac:dyDescent="0.4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1.25" customHeight="1" x14ac:dyDescent="0.4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2">
    <mergeCell ref="A1:X1"/>
    <mergeCell ref="E6:X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최병주 (Byung-Joo CHOI)</dc:creator>
  <cp:lastModifiedBy>최병주 (Byung-Joo CHOI)</cp:lastModifiedBy>
  <dcterms:created xsi:type="dcterms:W3CDTF">2026-06-26T05:09:38Z</dcterms:created>
  <dcterms:modified xsi:type="dcterms:W3CDTF">2026-06-26T05:10:40Z</dcterms:modified>
</cp:coreProperties>
</file>